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o\.gemini\antigravity\scratch\2lmf-web-kalkulator\"/>
    </mc:Choice>
  </mc:AlternateContent>
  <xr:revisionPtr revIDLastSave="0" documentId="13_ncr:1_{A394B04F-4452-4BBA-9598-94D37A54F350}" xr6:coauthVersionLast="47" xr6:coauthVersionMax="47" xr10:uidLastSave="{00000000-0000-0000-0000-000000000000}"/>
  <bookViews>
    <workbookView xWindow="-108" yWindow="-108" windowWidth="23256" windowHeight="12576" xr2:uid="{66962B6E-8369-4E50-A07D-2E90FEA14119}"/>
  </bookViews>
  <sheets>
    <sheet name="Sheet1" sheetId="1" r:id="rId1"/>
  </sheets>
  <definedNames>
    <definedName name="_xlnm._FilterDatabase" localSheetId="0" hidden="1">Sheet1!$A$3:$J$97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1" l="1"/>
  <c r="G55" i="1"/>
  <c r="F55" i="1"/>
  <c r="E55" i="1"/>
  <c r="D55" i="1"/>
  <c r="C55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C37" i="1"/>
  <c r="D37" i="1"/>
  <c r="E37" i="1"/>
  <c r="F37" i="1"/>
  <c r="G37" i="1"/>
  <c r="H37" i="1"/>
  <c r="H13" i="1"/>
  <c r="G13" i="1"/>
  <c r="F13" i="1"/>
  <c r="E13" i="1"/>
  <c r="D13" i="1"/>
  <c r="C13" i="1"/>
  <c r="C35" i="1"/>
  <c r="D35" i="1"/>
  <c r="E35" i="1"/>
  <c r="F35" i="1"/>
  <c r="G35" i="1"/>
  <c r="H35" i="1"/>
  <c r="H57" i="1"/>
  <c r="G57" i="1"/>
  <c r="F57" i="1"/>
  <c r="E57" i="1"/>
  <c r="D57" i="1"/>
  <c r="C57" i="1"/>
  <c r="C93" i="1"/>
  <c r="D93" i="1"/>
  <c r="E93" i="1"/>
  <c r="F93" i="1"/>
  <c r="G93" i="1"/>
  <c r="H93" i="1"/>
  <c r="H22" i="1"/>
  <c r="G22" i="1"/>
  <c r="F22" i="1"/>
  <c r="E22" i="1"/>
  <c r="D22" i="1"/>
  <c r="C22" i="1"/>
  <c r="C83" i="1"/>
  <c r="D83" i="1"/>
  <c r="E83" i="1"/>
  <c r="F83" i="1"/>
  <c r="G83" i="1"/>
  <c r="H83" i="1"/>
  <c r="C97" i="1"/>
  <c r="D97" i="1"/>
  <c r="E97" i="1"/>
  <c r="F97" i="1"/>
  <c r="G97" i="1"/>
  <c r="H97" i="1"/>
  <c r="C96" i="1"/>
  <c r="D96" i="1"/>
  <c r="E96" i="1"/>
  <c r="F96" i="1"/>
  <c r="G96" i="1"/>
  <c r="H96" i="1"/>
  <c r="C95" i="1"/>
  <c r="D95" i="1"/>
  <c r="E95" i="1"/>
  <c r="F95" i="1"/>
  <c r="G95" i="1"/>
  <c r="H95" i="1"/>
  <c r="C94" i="1"/>
  <c r="D94" i="1"/>
  <c r="E94" i="1"/>
  <c r="F94" i="1"/>
  <c r="G94" i="1"/>
  <c r="H94" i="1"/>
  <c r="B46" i="1"/>
  <c r="F46" i="1" s="1"/>
  <c r="B45" i="1"/>
  <c r="E45" i="1" s="1"/>
  <c r="B44" i="1"/>
  <c r="D44" i="1" s="1"/>
  <c r="B43" i="1"/>
  <c r="C43" i="1" s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16" i="1"/>
  <c r="G16" i="1"/>
  <c r="F16" i="1"/>
  <c r="E16" i="1"/>
  <c r="D16" i="1"/>
  <c r="C16" i="1"/>
  <c r="H33" i="1"/>
  <c r="G33" i="1"/>
  <c r="F33" i="1"/>
  <c r="E33" i="1"/>
  <c r="D33" i="1"/>
  <c r="C33" i="1"/>
  <c r="H32" i="1"/>
  <c r="G32" i="1"/>
  <c r="F32" i="1"/>
  <c r="E32" i="1"/>
  <c r="D32" i="1"/>
  <c r="C32" i="1"/>
  <c r="H29" i="1"/>
  <c r="G29" i="1"/>
  <c r="F29" i="1"/>
  <c r="E29" i="1"/>
  <c r="D29" i="1"/>
  <c r="C29" i="1"/>
  <c r="G84" i="1"/>
  <c r="F84" i="1"/>
  <c r="E84" i="1"/>
  <c r="D84" i="1"/>
  <c r="C84" i="1"/>
  <c r="H75" i="1"/>
  <c r="G75" i="1"/>
  <c r="F75" i="1"/>
  <c r="E75" i="1"/>
  <c r="D75" i="1"/>
  <c r="C75" i="1"/>
  <c r="C73" i="1"/>
  <c r="D73" i="1"/>
  <c r="E73" i="1"/>
  <c r="F73" i="1"/>
  <c r="G73" i="1"/>
  <c r="H73" i="1"/>
  <c r="H90" i="1"/>
  <c r="G90" i="1"/>
  <c r="F90" i="1"/>
  <c r="E90" i="1"/>
  <c r="D90" i="1"/>
  <c r="C90" i="1"/>
  <c r="H92" i="1"/>
  <c r="G92" i="1"/>
  <c r="F92" i="1"/>
  <c r="E92" i="1"/>
  <c r="D92" i="1"/>
  <c r="C92" i="1"/>
  <c r="H91" i="1"/>
  <c r="G91" i="1"/>
  <c r="F91" i="1"/>
  <c r="E91" i="1"/>
  <c r="D91" i="1"/>
  <c r="C91" i="1"/>
  <c r="H89" i="1"/>
  <c r="G89" i="1"/>
  <c r="F89" i="1"/>
  <c r="E89" i="1"/>
  <c r="D89" i="1"/>
  <c r="C89" i="1"/>
  <c r="H88" i="1"/>
  <c r="G88" i="1"/>
  <c r="F88" i="1"/>
  <c r="E88" i="1"/>
  <c r="D88" i="1"/>
  <c r="C88" i="1"/>
  <c r="H87" i="1"/>
  <c r="G87" i="1"/>
  <c r="F87" i="1"/>
  <c r="E87" i="1"/>
  <c r="D87" i="1"/>
  <c r="C87" i="1"/>
  <c r="H86" i="1"/>
  <c r="G86" i="1"/>
  <c r="F86" i="1"/>
  <c r="E86" i="1"/>
  <c r="D86" i="1"/>
  <c r="C86" i="1"/>
  <c r="H85" i="1"/>
  <c r="G85" i="1"/>
  <c r="F85" i="1"/>
  <c r="E85" i="1"/>
  <c r="D85" i="1"/>
  <c r="C85" i="1"/>
  <c r="H82" i="1"/>
  <c r="G82" i="1"/>
  <c r="F82" i="1"/>
  <c r="E82" i="1"/>
  <c r="D82" i="1"/>
  <c r="C82" i="1"/>
  <c r="H81" i="1"/>
  <c r="G81" i="1"/>
  <c r="F81" i="1"/>
  <c r="E81" i="1"/>
  <c r="D81" i="1"/>
  <c r="C81" i="1"/>
  <c r="H80" i="1"/>
  <c r="G80" i="1"/>
  <c r="F80" i="1"/>
  <c r="E80" i="1"/>
  <c r="D80" i="1"/>
  <c r="C80" i="1"/>
  <c r="H79" i="1"/>
  <c r="G79" i="1"/>
  <c r="F79" i="1"/>
  <c r="E79" i="1"/>
  <c r="D79" i="1"/>
  <c r="C79" i="1"/>
  <c r="H78" i="1"/>
  <c r="G78" i="1"/>
  <c r="F78" i="1"/>
  <c r="E78" i="1"/>
  <c r="D78" i="1"/>
  <c r="C78" i="1"/>
  <c r="H77" i="1"/>
  <c r="G77" i="1"/>
  <c r="F77" i="1"/>
  <c r="E77" i="1"/>
  <c r="D77" i="1"/>
  <c r="C77" i="1"/>
  <c r="H76" i="1"/>
  <c r="G76" i="1"/>
  <c r="F76" i="1"/>
  <c r="E76" i="1"/>
  <c r="D76" i="1"/>
  <c r="C76" i="1"/>
  <c r="H74" i="1"/>
  <c r="G74" i="1"/>
  <c r="F74" i="1"/>
  <c r="E74" i="1"/>
  <c r="D74" i="1"/>
  <c r="C74" i="1"/>
  <c r="H72" i="1"/>
  <c r="G72" i="1"/>
  <c r="F72" i="1"/>
  <c r="E72" i="1"/>
  <c r="D72" i="1"/>
  <c r="C72" i="1"/>
  <c r="H71" i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6" i="1"/>
  <c r="G56" i="1"/>
  <c r="F56" i="1"/>
  <c r="E56" i="1"/>
  <c r="D56" i="1"/>
  <c r="C56" i="1"/>
  <c r="H31" i="1"/>
  <c r="G31" i="1"/>
  <c r="F31" i="1"/>
  <c r="E31" i="1"/>
  <c r="D31" i="1"/>
  <c r="C31" i="1"/>
  <c r="H30" i="1"/>
  <c r="G30" i="1"/>
  <c r="F30" i="1"/>
  <c r="E30" i="1"/>
  <c r="D30" i="1"/>
  <c r="C30" i="1"/>
  <c r="B40" i="1"/>
  <c r="G40" i="1" s="1"/>
  <c r="B39" i="1"/>
  <c r="G39" i="1" s="1"/>
  <c r="B41" i="1"/>
  <c r="G41" i="1" s="1"/>
  <c r="B42" i="1"/>
  <c r="H42" i="1" s="1"/>
  <c r="B38" i="1"/>
  <c r="F38" i="1" s="1"/>
  <c r="C14" i="1"/>
  <c r="C15" i="1"/>
  <c r="C36" i="1"/>
  <c r="C34" i="1"/>
  <c r="C18" i="1"/>
  <c r="C17" i="1"/>
  <c r="C21" i="1"/>
  <c r="C20" i="1"/>
  <c r="C19" i="1"/>
  <c r="B4" i="1"/>
  <c r="D4" i="1" s="1"/>
  <c r="B5" i="1"/>
  <c r="C5" i="1" s="1"/>
  <c r="B6" i="1"/>
  <c r="G6" i="1" s="1"/>
  <c r="B7" i="1"/>
  <c r="H7" i="1" s="1"/>
  <c r="B8" i="1"/>
  <c r="E8" i="1" s="1"/>
  <c r="D14" i="1"/>
  <c r="E14" i="1"/>
  <c r="F14" i="1"/>
  <c r="G14" i="1"/>
  <c r="H14" i="1"/>
  <c r="D15" i="1"/>
  <c r="E15" i="1"/>
  <c r="F15" i="1"/>
  <c r="G15" i="1"/>
  <c r="H15" i="1"/>
  <c r="D36" i="1"/>
  <c r="E36" i="1"/>
  <c r="F36" i="1"/>
  <c r="G36" i="1"/>
  <c r="H36" i="1"/>
  <c r="D34" i="1"/>
  <c r="E34" i="1"/>
  <c r="F34" i="1"/>
  <c r="G34" i="1"/>
  <c r="H34" i="1"/>
  <c r="H18" i="1"/>
  <c r="G18" i="1"/>
  <c r="F18" i="1"/>
  <c r="E18" i="1"/>
  <c r="D18" i="1"/>
  <c r="H17" i="1"/>
  <c r="G17" i="1"/>
  <c r="F17" i="1"/>
  <c r="E17" i="1"/>
  <c r="D17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B12" i="1"/>
  <c r="G12" i="1" s="1"/>
  <c r="B11" i="1"/>
  <c r="G11" i="1" s="1"/>
  <c r="B10" i="1"/>
  <c r="H10" i="1" s="1"/>
  <c r="B9" i="1"/>
  <c r="G9" i="1" s="1"/>
  <c r="F45" i="1" l="1"/>
  <c r="G45" i="1"/>
  <c r="H45" i="1"/>
  <c r="E43" i="1"/>
  <c r="D46" i="1"/>
  <c r="F43" i="1"/>
  <c r="E44" i="1"/>
  <c r="F44" i="1"/>
  <c r="E46" i="1"/>
  <c r="C45" i="1"/>
  <c r="G46" i="1"/>
  <c r="D43" i="1"/>
  <c r="D45" i="1"/>
  <c r="H46" i="1"/>
  <c r="G43" i="1"/>
  <c r="H44" i="1"/>
  <c r="G44" i="1"/>
  <c r="H43" i="1"/>
  <c r="C46" i="1"/>
  <c r="C44" i="1"/>
  <c r="G42" i="1"/>
  <c r="H40" i="1"/>
  <c r="F40" i="1"/>
  <c r="C40" i="1"/>
  <c r="D40" i="1"/>
  <c r="E40" i="1"/>
  <c r="H39" i="1"/>
  <c r="C39" i="1"/>
  <c r="E39" i="1"/>
  <c r="F39" i="1"/>
  <c r="D39" i="1"/>
  <c r="C41" i="1"/>
  <c r="D41" i="1"/>
  <c r="E41" i="1"/>
  <c r="H41" i="1"/>
  <c r="F41" i="1"/>
  <c r="G5" i="1"/>
  <c r="C11" i="1"/>
  <c r="C12" i="1"/>
  <c r="C42" i="1"/>
  <c r="D42" i="1"/>
  <c r="E42" i="1"/>
  <c r="F42" i="1"/>
  <c r="G38" i="1"/>
  <c r="D38" i="1"/>
  <c r="E38" i="1"/>
  <c r="H38" i="1"/>
  <c r="C38" i="1"/>
  <c r="C8" i="1"/>
  <c r="C6" i="1"/>
  <c r="C7" i="1"/>
  <c r="C9" i="1"/>
  <c r="C10" i="1"/>
  <c r="C4" i="1"/>
  <c r="G4" i="1"/>
  <c r="E4" i="1"/>
  <c r="H4" i="1"/>
  <c r="F4" i="1"/>
  <c r="H5" i="1"/>
  <c r="D12" i="1"/>
  <c r="H9" i="1"/>
  <c r="G8" i="1"/>
  <c r="D7" i="1"/>
  <c r="D11" i="1"/>
  <c r="E7" i="1"/>
  <c r="E11" i="1"/>
  <c r="D5" i="1"/>
  <c r="F7" i="1"/>
  <c r="D9" i="1"/>
  <c r="F11" i="1"/>
  <c r="E5" i="1"/>
  <c r="G7" i="1"/>
  <c r="E9" i="1"/>
  <c r="H11" i="1"/>
  <c r="F8" i="1"/>
  <c r="H8" i="1"/>
  <c r="F5" i="1"/>
  <c r="F9" i="1"/>
  <c r="F12" i="1"/>
  <c r="H12" i="1"/>
  <c r="D6" i="1"/>
  <c r="D10" i="1"/>
  <c r="E6" i="1"/>
  <c r="E10" i="1"/>
  <c r="G10" i="1"/>
  <c r="H6" i="1"/>
  <c r="F6" i="1"/>
  <c r="F10" i="1"/>
  <c r="D8" i="1"/>
  <c r="E12" i="1"/>
</calcChain>
</file>

<file path=xl/sharedStrings.xml><?xml version="1.0" encoding="utf-8"?>
<sst xmlns="http://schemas.openxmlformats.org/spreadsheetml/2006/main" count="95" uniqueCount="92">
  <si>
    <t>FLAG TPO EP/PR 1,5 mm,krovna folija (bijela)</t>
  </si>
  <si>
    <t>FLAG TPO EP/PR 1,8 mm,krovna folija (bijela)</t>
  </si>
  <si>
    <t>FLAG TPO EP/PR 2,0 mm,krovna folija (bijela)</t>
  </si>
  <si>
    <t>FLAG BSL (PVC) 1,5 mm, folija za temelje</t>
  </si>
  <si>
    <t>FLAG SR (PVC) 1,5 mm, krovna folija</t>
  </si>
  <si>
    <t>TPO LIM (2 X 1m)</t>
  </si>
  <si>
    <t>PVC LIM (2 X 1m)</t>
  </si>
  <si>
    <t>ČEPASTA FOLIJA</t>
  </si>
  <si>
    <t>Isomat Aquamat Elastic sivi, 35kg (A+B komp)</t>
  </si>
  <si>
    <t>Isomat Isoflex PU500, bijeli, (poliuretan)</t>
  </si>
  <si>
    <t>Bentoshiled MAX5 (bentonit, bentonitna traka)</t>
  </si>
  <si>
    <t>ETHAFOAM 2222, zvučna izolacija, 5mm (112,5m2 rola)</t>
  </si>
  <si>
    <t>CELLUCUSHION, zvučna izolacija, 5mm (120m2 rola)</t>
  </si>
  <si>
    <t>REFLECTIX SB, (60m2 rola)</t>
  </si>
  <si>
    <t>RAVAPROOF Ruby V-4</t>
  </si>
  <si>
    <t>RAVAPROOF Sapphire G3</t>
  </si>
  <si>
    <t>RAVAPROOF Sapphire G4</t>
  </si>
  <si>
    <t>RAVAPROOF Vapor Al-35 (3,5mm) , SBS</t>
  </si>
  <si>
    <t>m3</t>
  </si>
  <si>
    <t>OBB ploča 12mm (2500 x 675mm)</t>
  </si>
  <si>
    <t>OSB ploča 15mm (2500 x 675mm)</t>
  </si>
  <si>
    <t>OSB ploča 18mm (2500 x 675mm)</t>
  </si>
  <si>
    <t>OSB ploča 22mm (2500 x 675mm)</t>
  </si>
  <si>
    <t>Isomat AK 20</t>
  </si>
  <si>
    <t>Kamena vuna, 14cm, fasadna</t>
  </si>
  <si>
    <t>Kamena vuna, 15cm, fasadna</t>
  </si>
  <si>
    <t>Kamena vuna, 12cm, fasadna</t>
  </si>
  <si>
    <t>Kamena vuna, 10cm, fasadna</t>
  </si>
  <si>
    <t>Kamena vuna, 8cm, fasadna</t>
  </si>
  <si>
    <t>Geotekstil, 200g</t>
  </si>
  <si>
    <t>Geotekstil, 300g</t>
  </si>
  <si>
    <t>Ogradni panel 2D 1030x2500 6/5/6 RAL 7016</t>
  </si>
  <si>
    <t>Ogradni panel 2D 1230x2500 6/5/6 RAL 7016</t>
  </si>
  <si>
    <t>Ogradni panel 2D 1430x2500 6/5/6 RAL 7016</t>
  </si>
  <si>
    <t>Ogradni panel 2D 1630x2500 6/5/6 RAL 7016</t>
  </si>
  <si>
    <t>Ogradni panel 2D 1830x2500 6/5/6 RAL 7016</t>
  </si>
  <si>
    <t>Ogradni panel 2D 2030x2500 6/5/6 RAL 7016</t>
  </si>
  <si>
    <t>Ogradni panel 3D 1030x2500 4/4 RAL 7016</t>
  </si>
  <si>
    <t>Ogradni panel 3D 1030x2500 5/5 RAL 7016</t>
  </si>
  <si>
    <t>Ogradni panel 3D 1230x2500 4/4 RAL 7016</t>
  </si>
  <si>
    <t>Ogradni panel 3D 1230x2500 5/5 RAL 7016</t>
  </si>
  <si>
    <t>Ogradni panel 3D 1530x2500 4/4 RAL 7016</t>
  </si>
  <si>
    <t>Ogradni panel 3D 1530x2500 5/5 RAL 7016</t>
  </si>
  <si>
    <t>Ogradni panel 3D 1730x2500 4/4 RAL 7016</t>
  </si>
  <si>
    <t>Ogradni panel 3D 1730x2500 5/5 RAL 7016</t>
  </si>
  <si>
    <t>Ogradni panel 3D 2030x2500 4/4 RAL 7016</t>
  </si>
  <si>
    <t>Ogradni panel 3D 2030x2500 5/5 RAL 7016</t>
  </si>
  <si>
    <t>Ogradni panel 3D 830x2500 4/4 RAL 7016</t>
  </si>
  <si>
    <t>stupovi sa pločicom</t>
  </si>
  <si>
    <t>NABAVNA BEZ PDVA</t>
  </si>
  <si>
    <t>NABAVNA SA PDV</t>
  </si>
  <si>
    <t>MARŽA %</t>
  </si>
  <si>
    <t>Pješačka vrata 1000x1000mm</t>
  </si>
  <si>
    <t>Pješačka vrata 1000x1200mm</t>
  </si>
  <si>
    <t>Pješačka vrata 1000x1500mm</t>
  </si>
  <si>
    <t>Pješačka vrata 1000x1700mm</t>
  </si>
  <si>
    <t>Ravatherm XPS, stirodur, m2/cm debljine</t>
  </si>
  <si>
    <t>Ogradni panel 3D 830x2500 5/5 RAL 7016</t>
  </si>
  <si>
    <t xml:space="preserve">Stup sa pločicom 0,85 m </t>
  </si>
  <si>
    <t xml:space="preserve">Stup sa pločicom 1,05 m </t>
  </si>
  <si>
    <t xml:space="preserve">Stup sa pločicom 1,25 m </t>
  </si>
  <si>
    <t xml:space="preserve">Stup sa pločicom 1,45 m </t>
  </si>
  <si>
    <t>Stup sa pločicom 1,55 m</t>
  </si>
  <si>
    <t xml:space="preserve">Stup sa pločicom 1,65 m </t>
  </si>
  <si>
    <t xml:space="preserve">Stup sa pločicom 1,75 m </t>
  </si>
  <si>
    <t xml:space="preserve">Stup sa pločicom 1,85 m </t>
  </si>
  <si>
    <t xml:space="preserve">Stup sa pločicom 2,05 m </t>
  </si>
  <si>
    <t>Stup za beton 1,5 m</t>
  </si>
  <si>
    <t>Stup za beton 2,30 m</t>
  </si>
  <si>
    <t>Stup za beton 2,00 m</t>
  </si>
  <si>
    <t>Stup za beton 1,75 m</t>
  </si>
  <si>
    <t>Stup za beton 2,50 m</t>
  </si>
  <si>
    <t>PVC Spojnica</t>
  </si>
  <si>
    <t>SIDRENI VIJAK ZN M10</t>
  </si>
  <si>
    <t>PVC PRČVRSNICA ZA TRAKU</t>
  </si>
  <si>
    <t>ZAŠTITA OD POGLEDA, REBRASTA, 26 m'</t>
  </si>
  <si>
    <t>Pješačka vrata 1000x2000mm</t>
  </si>
  <si>
    <t>MARŽA ZA KALKULATOR</t>
  </si>
  <si>
    <t>Ogradni panel 2D 8330x2500 6/5/6 RAL 7016</t>
  </si>
  <si>
    <t>Isomat PU pimer</t>
  </si>
  <si>
    <t>RAVAPROOF Diamond P 4, SBS, Polyester, s posipom, sivi</t>
  </si>
  <si>
    <t>FIMIZOL, 9L, bitumenski premaz</t>
  </si>
  <si>
    <t>Dow Insta Stik, za pištolj</t>
  </si>
  <si>
    <t>LJEPILO ZA EPS 25 KG</t>
  </si>
  <si>
    <t>EPS F 1000X500X150 (TR150)</t>
  </si>
  <si>
    <t>PROFIL PVC 2,50 M+MREŽICA 10X15</t>
  </si>
  <si>
    <t>STAKLENA MREŽICA PRIMAFAS 160</t>
  </si>
  <si>
    <t>MINERALKVARC GRUND OBOJENI 65 15 L BIJELI</t>
  </si>
  <si>
    <t>PROFIL AL COKL 15 CM (0,8 MM) 2,50 M</t>
  </si>
  <si>
    <t>PRIČVRSNICA PSV 200 MM</t>
  </si>
  <si>
    <t>SILIKATNA ŽBUKA Z 4000 (1,5 MM) 25 KG</t>
  </si>
  <si>
    <t>UNITERM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</si>
</sst>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0" fontId="1" fillId="8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 vertical="top"/>
    </xf>
    <xf numFmtId="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" fontId="1" fillId="10" borderId="1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4" fontId="3" fillId="9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DC72-9931-4817-B188-2DC91438E035}">
  <dimension ref="A2:J97"/>
  <sheetViews>
    <sheetView tabSelected="1" topLeftCell="A16" workbookViewId="0">
      <selection activeCell="L29" sqref="L29"/>
    </sheetView>
  </sheetViews>
  <sheetFormatPr defaultRowHeight="14.4" x14ac:dyDescent="0.3"/>
  <cols>
    <col min="1" max="1" width="46.44140625" style="2" bestFit="1" customWidth="1"/>
    <col min="2" max="3" width="22.5546875" style="24" customWidth="1"/>
    <col min="4" max="7" width="8.88671875" style="1" customWidth="1"/>
    <col min="8" max="8" width="8.88671875" style="1"/>
    <col min="9" max="9" width="18.5546875" style="1" bestFit="1" customWidth="1"/>
    <col min="10" max="10" width="25.6640625" style="3" customWidth="1"/>
  </cols>
  <sheetData>
    <row r="2" spans="1:10" x14ac:dyDescent="0.3">
      <c r="D2" s="20" t="s">
        <v>51</v>
      </c>
      <c r="E2" s="21"/>
      <c r="F2" s="21"/>
      <c r="G2" s="21"/>
      <c r="H2" s="21"/>
      <c r="I2" s="22"/>
    </row>
    <row r="3" spans="1:10" x14ac:dyDescent="0.3">
      <c r="A3" s="4" t="s">
        <v>56</v>
      </c>
      <c r="B3" s="5" t="s">
        <v>49</v>
      </c>
      <c r="C3" s="23" t="s">
        <v>50</v>
      </c>
      <c r="D3" s="5">
        <v>0.15</v>
      </c>
      <c r="E3" s="5">
        <v>0.2</v>
      </c>
      <c r="F3" s="5">
        <v>0.25</v>
      </c>
      <c r="G3" s="5">
        <v>0.3</v>
      </c>
      <c r="H3" s="5">
        <v>0.35</v>
      </c>
      <c r="I3" s="5" t="s">
        <v>18</v>
      </c>
      <c r="J3" s="6" t="s">
        <v>77</v>
      </c>
    </row>
    <row r="4" spans="1:10" x14ac:dyDescent="0.3">
      <c r="A4" s="7">
        <v>2</v>
      </c>
      <c r="B4" s="25">
        <f t="shared" ref="B4:B12" si="0">(I4/100)*A4</f>
        <v>1.62</v>
      </c>
      <c r="C4" s="23">
        <f t="shared" ref="C4:C38" si="1">B4*1.25</f>
        <v>2.0250000000000004</v>
      </c>
      <c r="D4" s="8">
        <f t="shared" ref="D4:D38" si="2">B4*1.15*1.25</f>
        <v>2.3287499999999999</v>
      </c>
      <c r="E4" s="8">
        <f t="shared" ref="E4:E38" si="3">B4*1.2*1.25</f>
        <v>2.4299999999999997</v>
      </c>
      <c r="F4" s="8">
        <f t="shared" ref="F4:F38" si="4">B4*1.25*1.25</f>
        <v>2.5312500000000004</v>
      </c>
      <c r="G4" s="8">
        <f t="shared" ref="G4:G38" si="5">B4*1.3*1.25</f>
        <v>2.6325000000000003</v>
      </c>
      <c r="H4" s="8">
        <f t="shared" ref="H4:H38" si="6">B4*1.35*1.25</f>
        <v>2.7337500000000006</v>
      </c>
      <c r="I4" s="8">
        <v>81</v>
      </c>
      <c r="J4" s="9">
        <v>0.25</v>
      </c>
    </row>
    <row r="5" spans="1:10" x14ac:dyDescent="0.3">
      <c r="A5" s="7">
        <v>3</v>
      </c>
      <c r="B5" s="25">
        <f t="shared" si="0"/>
        <v>2.25</v>
      </c>
      <c r="C5" s="23">
        <f t="shared" si="1"/>
        <v>2.8125</v>
      </c>
      <c r="D5" s="8">
        <f t="shared" si="2"/>
        <v>3.234375</v>
      </c>
      <c r="E5" s="8">
        <f t="shared" si="3"/>
        <v>3.3749999999999996</v>
      </c>
      <c r="F5" s="8">
        <f t="shared" si="4"/>
        <v>3.515625</v>
      </c>
      <c r="G5" s="8">
        <f t="shared" si="5"/>
        <v>3.6562500000000004</v>
      </c>
      <c r="H5" s="8">
        <f t="shared" si="6"/>
        <v>3.796875</v>
      </c>
      <c r="I5" s="8">
        <v>75</v>
      </c>
      <c r="J5" s="9">
        <v>0.25</v>
      </c>
    </row>
    <row r="6" spans="1:10" x14ac:dyDescent="0.3">
      <c r="A6" s="7">
        <v>4</v>
      </c>
      <c r="B6" s="25">
        <f t="shared" si="0"/>
        <v>3</v>
      </c>
      <c r="C6" s="23">
        <f t="shared" si="1"/>
        <v>3.75</v>
      </c>
      <c r="D6" s="8">
        <f t="shared" si="2"/>
        <v>4.3125</v>
      </c>
      <c r="E6" s="8">
        <f t="shared" si="3"/>
        <v>4.5</v>
      </c>
      <c r="F6" s="8">
        <f t="shared" si="4"/>
        <v>4.6875</v>
      </c>
      <c r="G6" s="8">
        <f t="shared" si="5"/>
        <v>4.875</v>
      </c>
      <c r="H6" s="8">
        <f t="shared" si="6"/>
        <v>5.0625000000000009</v>
      </c>
      <c r="I6" s="8">
        <v>75</v>
      </c>
      <c r="J6" s="9">
        <v>0.25</v>
      </c>
    </row>
    <row r="7" spans="1:10" x14ac:dyDescent="0.3">
      <c r="A7" s="7">
        <v>5</v>
      </c>
      <c r="B7" s="25">
        <f t="shared" si="0"/>
        <v>3.75</v>
      </c>
      <c r="C7" s="23">
        <f t="shared" si="1"/>
        <v>4.6875</v>
      </c>
      <c r="D7" s="8">
        <f t="shared" si="2"/>
        <v>5.390625</v>
      </c>
      <c r="E7" s="8">
        <f t="shared" si="3"/>
        <v>5.625</v>
      </c>
      <c r="F7" s="8">
        <f t="shared" si="4"/>
        <v>5.859375</v>
      </c>
      <c r="G7" s="8">
        <f t="shared" si="5"/>
        <v>6.09375</v>
      </c>
      <c r="H7" s="8">
        <f t="shared" si="6"/>
        <v>6.328125</v>
      </c>
      <c r="I7" s="8">
        <v>75</v>
      </c>
      <c r="J7" s="9">
        <v>0.25</v>
      </c>
    </row>
    <row r="8" spans="1:10" x14ac:dyDescent="0.3">
      <c r="A8" s="7">
        <v>6</v>
      </c>
      <c r="B8" s="25">
        <f t="shared" si="0"/>
        <v>4.5</v>
      </c>
      <c r="C8" s="23">
        <f t="shared" si="1"/>
        <v>5.625</v>
      </c>
      <c r="D8" s="8">
        <f t="shared" si="2"/>
        <v>6.46875</v>
      </c>
      <c r="E8" s="8">
        <f t="shared" si="3"/>
        <v>6.7499999999999991</v>
      </c>
      <c r="F8" s="8">
        <f t="shared" si="4"/>
        <v>7.03125</v>
      </c>
      <c r="G8" s="8">
        <f t="shared" si="5"/>
        <v>7.3125000000000009</v>
      </c>
      <c r="H8" s="8">
        <f t="shared" si="6"/>
        <v>7.59375</v>
      </c>
      <c r="I8" s="8">
        <v>75</v>
      </c>
      <c r="J8" s="9">
        <v>0.25</v>
      </c>
    </row>
    <row r="9" spans="1:10" x14ac:dyDescent="0.3">
      <c r="A9" s="7">
        <v>8</v>
      </c>
      <c r="B9" s="25">
        <f t="shared" si="0"/>
        <v>6</v>
      </c>
      <c r="C9" s="23">
        <f t="shared" si="1"/>
        <v>7.5</v>
      </c>
      <c r="D9" s="8">
        <f t="shared" si="2"/>
        <v>8.625</v>
      </c>
      <c r="E9" s="8">
        <f t="shared" si="3"/>
        <v>9</v>
      </c>
      <c r="F9" s="8">
        <f t="shared" si="4"/>
        <v>9.375</v>
      </c>
      <c r="G9" s="8">
        <f t="shared" si="5"/>
        <v>9.75</v>
      </c>
      <c r="H9" s="8">
        <f t="shared" si="6"/>
        <v>10.125000000000002</v>
      </c>
      <c r="I9" s="8">
        <v>75</v>
      </c>
      <c r="J9" s="9">
        <v>0.25</v>
      </c>
    </row>
    <row r="10" spans="1:10" x14ac:dyDescent="0.3">
      <c r="A10" s="7">
        <v>10</v>
      </c>
      <c r="B10" s="25">
        <f t="shared" si="0"/>
        <v>7.5</v>
      </c>
      <c r="C10" s="23">
        <f t="shared" si="1"/>
        <v>9.375</v>
      </c>
      <c r="D10" s="8">
        <f t="shared" si="2"/>
        <v>10.78125</v>
      </c>
      <c r="E10" s="8">
        <f t="shared" si="3"/>
        <v>11.25</v>
      </c>
      <c r="F10" s="8">
        <f t="shared" si="4"/>
        <v>11.71875</v>
      </c>
      <c r="G10" s="8">
        <f t="shared" si="5"/>
        <v>12.1875</v>
      </c>
      <c r="H10" s="8">
        <f t="shared" si="6"/>
        <v>12.65625</v>
      </c>
      <c r="I10" s="8">
        <v>75</v>
      </c>
      <c r="J10" s="9">
        <v>0.25</v>
      </c>
    </row>
    <row r="11" spans="1:10" x14ac:dyDescent="0.3">
      <c r="A11" s="7">
        <v>12</v>
      </c>
      <c r="B11" s="25">
        <f t="shared" si="0"/>
        <v>9</v>
      </c>
      <c r="C11" s="23">
        <f t="shared" si="1"/>
        <v>11.25</v>
      </c>
      <c r="D11" s="8">
        <f t="shared" si="2"/>
        <v>12.9375</v>
      </c>
      <c r="E11" s="8">
        <f t="shared" si="3"/>
        <v>13.499999999999998</v>
      </c>
      <c r="F11" s="8">
        <f t="shared" si="4"/>
        <v>14.0625</v>
      </c>
      <c r="G11" s="8">
        <f t="shared" si="5"/>
        <v>14.625000000000002</v>
      </c>
      <c r="H11" s="8">
        <f t="shared" si="6"/>
        <v>15.1875</v>
      </c>
      <c r="I11" s="8">
        <v>75</v>
      </c>
      <c r="J11" s="9">
        <v>0.25</v>
      </c>
    </row>
    <row r="12" spans="1:10" x14ac:dyDescent="0.3">
      <c r="A12" s="7">
        <v>15</v>
      </c>
      <c r="B12" s="25">
        <f t="shared" si="0"/>
        <v>12.15</v>
      </c>
      <c r="C12" s="23">
        <f t="shared" si="1"/>
        <v>15.1875</v>
      </c>
      <c r="D12" s="8">
        <f t="shared" si="2"/>
        <v>17.465624999999999</v>
      </c>
      <c r="E12" s="8">
        <f t="shared" si="3"/>
        <v>18.225000000000001</v>
      </c>
      <c r="F12" s="8">
        <f t="shared" si="4"/>
        <v>18.984375</v>
      </c>
      <c r="G12" s="8">
        <f t="shared" si="5"/>
        <v>19.743750000000002</v>
      </c>
      <c r="H12" s="8">
        <f t="shared" si="6"/>
        <v>20.503125000000001</v>
      </c>
      <c r="I12" s="8">
        <v>81</v>
      </c>
      <c r="J12" s="9">
        <v>0.25</v>
      </c>
    </row>
    <row r="13" spans="1:10" x14ac:dyDescent="0.3">
      <c r="A13" s="7" t="s">
        <v>82</v>
      </c>
      <c r="B13" s="25">
        <v>6.1</v>
      </c>
      <c r="C13" s="23">
        <f t="shared" si="1"/>
        <v>7.625</v>
      </c>
      <c r="D13" s="8">
        <f t="shared" ref="D13" si="7">B13*1.15*1.25</f>
        <v>8.7687499999999989</v>
      </c>
      <c r="E13" s="8">
        <f t="shared" ref="E13" si="8">B13*1.2*1.25</f>
        <v>9.1499999999999986</v>
      </c>
      <c r="F13" s="8">
        <f t="shared" ref="F13" si="9">B13*1.25*1.25</f>
        <v>9.53125</v>
      </c>
      <c r="G13" s="8">
        <f t="shared" ref="G13" si="10">B13*1.3*1.25</f>
        <v>9.9124999999999996</v>
      </c>
      <c r="H13" s="8">
        <f t="shared" ref="H13" si="11">B13*1.35*1.25</f>
        <v>10.293749999999999</v>
      </c>
      <c r="I13" s="8"/>
      <c r="J13" s="9">
        <v>0.35</v>
      </c>
    </row>
    <row r="14" spans="1:10" x14ac:dyDescent="0.3">
      <c r="A14" s="10" t="s">
        <v>12</v>
      </c>
      <c r="B14" s="25">
        <v>0.83</v>
      </c>
      <c r="C14" s="23">
        <f t="shared" si="1"/>
        <v>1.0374999999999999</v>
      </c>
      <c r="D14" s="11">
        <f t="shared" si="2"/>
        <v>1.1931249999999998</v>
      </c>
      <c r="E14" s="11">
        <f t="shared" si="3"/>
        <v>1.2449999999999999</v>
      </c>
      <c r="F14" s="11">
        <f t="shared" si="4"/>
        <v>1.2968749999999998</v>
      </c>
      <c r="G14" s="11">
        <f t="shared" si="5"/>
        <v>1.3487499999999999</v>
      </c>
      <c r="H14" s="11">
        <f t="shared" si="6"/>
        <v>1.400625</v>
      </c>
      <c r="I14" s="11"/>
      <c r="J14" s="9">
        <v>0.35</v>
      </c>
    </row>
    <row r="15" spans="1:10" x14ac:dyDescent="0.3">
      <c r="A15" s="10" t="s">
        <v>11</v>
      </c>
      <c r="B15" s="25">
        <v>1.2</v>
      </c>
      <c r="C15" s="23">
        <f t="shared" si="1"/>
        <v>1.5</v>
      </c>
      <c r="D15" s="11">
        <f t="shared" si="2"/>
        <v>1.7249999999999999</v>
      </c>
      <c r="E15" s="11">
        <f t="shared" si="3"/>
        <v>1.7999999999999998</v>
      </c>
      <c r="F15" s="11">
        <f t="shared" si="4"/>
        <v>1.875</v>
      </c>
      <c r="G15" s="11">
        <f t="shared" si="5"/>
        <v>1.9500000000000002</v>
      </c>
      <c r="H15" s="11">
        <f t="shared" si="6"/>
        <v>2.0250000000000004</v>
      </c>
      <c r="I15" s="11"/>
      <c r="J15" s="9">
        <v>0.35</v>
      </c>
    </row>
    <row r="16" spans="1:10" x14ac:dyDescent="0.3">
      <c r="A16" s="10" t="s">
        <v>13</v>
      </c>
      <c r="B16" s="25">
        <v>2.0499999999999998</v>
      </c>
      <c r="C16" s="23">
        <f t="shared" si="1"/>
        <v>2.5625</v>
      </c>
      <c r="D16" s="11">
        <f t="shared" si="2"/>
        <v>2.9468749999999995</v>
      </c>
      <c r="E16" s="11">
        <f t="shared" si="3"/>
        <v>3.0749999999999993</v>
      </c>
      <c r="F16" s="11">
        <f t="shared" si="4"/>
        <v>3.203125</v>
      </c>
      <c r="G16" s="11">
        <f t="shared" si="5"/>
        <v>3.3312499999999998</v>
      </c>
      <c r="H16" s="11">
        <f t="shared" si="6"/>
        <v>3.4593750000000001</v>
      </c>
      <c r="I16" s="11"/>
      <c r="J16" s="9">
        <v>0.35</v>
      </c>
    </row>
    <row r="17" spans="1:10" x14ac:dyDescent="0.3">
      <c r="A17" s="12" t="s">
        <v>3</v>
      </c>
      <c r="B17" s="25">
        <v>3.9</v>
      </c>
      <c r="C17" s="23">
        <f t="shared" si="1"/>
        <v>4.875</v>
      </c>
      <c r="D17" s="13">
        <f t="shared" si="2"/>
        <v>5.6062499999999993</v>
      </c>
      <c r="E17" s="13">
        <f t="shared" si="3"/>
        <v>5.85</v>
      </c>
      <c r="F17" s="13">
        <f t="shared" si="4"/>
        <v>6.09375</v>
      </c>
      <c r="G17" s="13">
        <f t="shared" si="5"/>
        <v>6.3375000000000004</v>
      </c>
      <c r="H17" s="13">
        <f t="shared" si="6"/>
        <v>6.5812500000000007</v>
      </c>
      <c r="I17" s="13"/>
      <c r="J17" s="9">
        <v>0.3</v>
      </c>
    </row>
    <row r="18" spans="1:10" x14ac:dyDescent="0.3">
      <c r="A18" s="12" t="s">
        <v>4</v>
      </c>
      <c r="B18" s="25">
        <v>5.5</v>
      </c>
      <c r="C18" s="23">
        <f t="shared" si="1"/>
        <v>6.875</v>
      </c>
      <c r="D18" s="13">
        <f t="shared" si="2"/>
        <v>7.9062499999999991</v>
      </c>
      <c r="E18" s="13">
        <f t="shared" si="3"/>
        <v>8.25</v>
      </c>
      <c r="F18" s="13">
        <f t="shared" si="4"/>
        <v>8.59375</v>
      </c>
      <c r="G18" s="13">
        <f t="shared" si="5"/>
        <v>8.9375</v>
      </c>
      <c r="H18" s="13">
        <f t="shared" si="6"/>
        <v>9.28125</v>
      </c>
      <c r="I18" s="13"/>
      <c r="J18" s="9">
        <v>0.3</v>
      </c>
    </row>
    <row r="19" spans="1:10" x14ac:dyDescent="0.3">
      <c r="A19" s="12" t="s">
        <v>0</v>
      </c>
      <c r="B19" s="25">
        <v>5.53</v>
      </c>
      <c r="C19" s="23">
        <f t="shared" si="1"/>
        <v>6.9125000000000005</v>
      </c>
      <c r="D19" s="13">
        <f t="shared" si="2"/>
        <v>7.9493749999999999</v>
      </c>
      <c r="E19" s="13">
        <f t="shared" si="3"/>
        <v>8.2949999999999999</v>
      </c>
      <c r="F19" s="13">
        <f t="shared" si="4"/>
        <v>8.640625</v>
      </c>
      <c r="G19" s="13">
        <f t="shared" si="5"/>
        <v>8.9862500000000018</v>
      </c>
      <c r="H19" s="13">
        <f t="shared" si="6"/>
        <v>9.3318750000000001</v>
      </c>
      <c r="I19" s="13"/>
      <c r="J19" s="9">
        <v>0.3</v>
      </c>
    </row>
    <row r="20" spans="1:10" x14ac:dyDescent="0.3">
      <c r="A20" s="12" t="s">
        <v>1</v>
      </c>
      <c r="B20" s="25">
        <v>6.9</v>
      </c>
      <c r="C20" s="23">
        <f t="shared" si="1"/>
        <v>8.625</v>
      </c>
      <c r="D20" s="13">
        <f t="shared" si="2"/>
        <v>9.9187499999999993</v>
      </c>
      <c r="E20" s="13">
        <f t="shared" si="3"/>
        <v>10.35</v>
      </c>
      <c r="F20" s="13">
        <f t="shared" si="4"/>
        <v>10.78125</v>
      </c>
      <c r="G20" s="13">
        <f t="shared" si="5"/>
        <v>11.2125</v>
      </c>
      <c r="H20" s="13">
        <f t="shared" si="6"/>
        <v>11.643750000000001</v>
      </c>
      <c r="I20" s="13"/>
      <c r="J20" s="9">
        <v>0.3</v>
      </c>
    </row>
    <row r="21" spans="1:10" x14ac:dyDescent="0.3">
      <c r="A21" s="12" t="s">
        <v>2</v>
      </c>
      <c r="B21" s="25">
        <v>7.8</v>
      </c>
      <c r="C21" s="23">
        <f t="shared" si="1"/>
        <v>9.75</v>
      </c>
      <c r="D21" s="13">
        <f t="shared" si="2"/>
        <v>11.212499999999999</v>
      </c>
      <c r="E21" s="13">
        <f t="shared" si="3"/>
        <v>11.7</v>
      </c>
      <c r="F21" s="13">
        <f t="shared" si="4"/>
        <v>12.1875</v>
      </c>
      <c r="G21" s="13">
        <f t="shared" si="5"/>
        <v>12.675000000000001</v>
      </c>
      <c r="H21" s="13">
        <f t="shared" si="6"/>
        <v>13.162500000000001</v>
      </c>
      <c r="I21" s="13"/>
      <c r="J21" s="9">
        <v>0.3</v>
      </c>
    </row>
    <row r="22" spans="1:10" x14ac:dyDescent="0.3">
      <c r="A22" s="12" t="s">
        <v>10</v>
      </c>
      <c r="B22" s="25">
        <v>4.25</v>
      </c>
      <c r="C22" s="23">
        <f t="shared" si="1"/>
        <v>5.3125</v>
      </c>
      <c r="D22" s="13">
        <f t="shared" si="2"/>
        <v>6.1093749999999991</v>
      </c>
      <c r="E22" s="13">
        <f t="shared" si="3"/>
        <v>6.375</v>
      </c>
      <c r="F22" s="13">
        <f t="shared" si="4"/>
        <v>6.640625</v>
      </c>
      <c r="G22" s="13">
        <f t="shared" si="5"/>
        <v>6.90625</v>
      </c>
      <c r="H22" s="13">
        <f t="shared" si="6"/>
        <v>7.1718750000000009</v>
      </c>
      <c r="I22" s="13"/>
      <c r="J22" s="9">
        <v>0.3</v>
      </c>
    </row>
    <row r="23" spans="1:10" x14ac:dyDescent="0.3">
      <c r="A23" s="12" t="s">
        <v>80</v>
      </c>
      <c r="B23" s="25">
        <v>2.89</v>
      </c>
      <c r="C23" s="23">
        <f t="shared" si="1"/>
        <v>3.6125000000000003</v>
      </c>
      <c r="D23" s="13">
        <f t="shared" si="2"/>
        <v>4.1543749999999999</v>
      </c>
      <c r="E23" s="13">
        <f t="shared" si="3"/>
        <v>4.335</v>
      </c>
      <c r="F23" s="13">
        <f t="shared" si="4"/>
        <v>4.515625</v>
      </c>
      <c r="G23" s="13">
        <f t="shared" si="5"/>
        <v>4.69625</v>
      </c>
      <c r="H23" s="13">
        <f t="shared" si="6"/>
        <v>4.8768750000000001</v>
      </c>
      <c r="I23" s="13"/>
      <c r="J23" s="9">
        <v>0.35</v>
      </c>
    </row>
    <row r="24" spans="1:10" x14ac:dyDescent="0.3">
      <c r="A24" s="12" t="s">
        <v>14</v>
      </c>
      <c r="B24" s="25">
        <v>2.2000000000000002</v>
      </c>
      <c r="C24" s="23">
        <f t="shared" si="1"/>
        <v>2.75</v>
      </c>
      <c r="D24" s="13">
        <f t="shared" si="2"/>
        <v>3.1624999999999996</v>
      </c>
      <c r="E24" s="13">
        <f t="shared" si="3"/>
        <v>3.3000000000000003</v>
      </c>
      <c r="F24" s="13">
        <f t="shared" si="4"/>
        <v>3.4375</v>
      </c>
      <c r="G24" s="13">
        <f t="shared" si="5"/>
        <v>3.5750000000000002</v>
      </c>
      <c r="H24" s="13">
        <f t="shared" si="6"/>
        <v>3.7125000000000008</v>
      </c>
      <c r="I24" s="13"/>
      <c r="J24" s="9">
        <v>0.35</v>
      </c>
    </row>
    <row r="25" spans="1:10" x14ac:dyDescent="0.3">
      <c r="A25" s="12" t="s">
        <v>15</v>
      </c>
      <c r="B25" s="25">
        <v>1.1299999999999999</v>
      </c>
      <c r="C25" s="23">
        <f t="shared" si="1"/>
        <v>1.4124999999999999</v>
      </c>
      <c r="D25" s="13">
        <f t="shared" si="2"/>
        <v>1.6243749999999999</v>
      </c>
      <c r="E25" s="13">
        <f t="shared" si="3"/>
        <v>1.6949999999999998</v>
      </c>
      <c r="F25" s="13">
        <f t="shared" si="4"/>
        <v>1.7656249999999998</v>
      </c>
      <c r="G25" s="13">
        <f t="shared" si="5"/>
        <v>1.8362499999999997</v>
      </c>
      <c r="H25" s="13">
        <f t="shared" si="6"/>
        <v>1.9068749999999999</v>
      </c>
      <c r="I25" s="13"/>
      <c r="J25" s="9">
        <v>0.35</v>
      </c>
    </row>
    <row r="26" spans="1:10" x14ac:dyDescent="0.3">
      <c r="A26" s="12" t="s">
        <v>16</v>
      </c>
      <c r="B26" s="25">
        <v>1.57</v>
      </c>
      <c r="C26" s="23">
        <f t="shared" si="1"/>
        <v>1.9625000000000001</v>
      </c>
      <c r="D26" s="13">
        <f t="shared" si="2"/>
        <v>2.256875</v>
      </c>
      <c r="E26" s="13">
        <f t="shared" si="3"/>
        <v>2.355</v>
      </c>
      <c r="F26" s="13">
        <f t="shared" si="4"/>
        <v>2.453125</v>
      </c>
      <c r="G26" s="13">
        <f t="shared" si="5"/>
        <v>2.5512500000000005</v>
      </c>
      <c r="H26" s="13">
        <f t="shared" si="6"/>
        <v>2.6493750000000005</v>
      </c>
      <c r="I26" s="13"/>
      <c r="J26" s="9">
        <v>0.35</v>
      </c>
    </row>
    <row r="27" spans="1:10" x14ac:dyDescent="0.3">
      <c r="A27" s="12" t="s">
        <v>17</v>
      </c>
      <c r="B27" s="25">
        <v>2.9</v>
      </c>
      <c r="C27" s="23">
        <f t="shared" si="1"/>
        <v>3.625</v>
      </c>
      <c r="D27" s="13">
        <f t="shared" si="2"/>
        <v>4.1687499999999993</v>
      </c>
      <c r="E27" s="13">
        <f t="shared" si="3"/>
        <v>4.3499999999999996</v>
      </c>
      <c r="F27" s="13">
        <f t="shared" si="4"/>
        <v>4.53125</v>
      </c>
      <c r="G27" s="13">
        <f t="shared" si="5"/>
        <v>4.7125000000000004</v>
      </c>
      <c r="H27" s="13">
        <f t="shared" si="6"/>
        <v>4.8937499999999998</v>
      </c>
      <c r="I27" s="13"/>
      <c r="J27" s="9">
        <v>0.35</v>
      </c>
    </row>
    <row r="28" spans="1:10" x14ac:dyDescent="0.3">
      <c r="A28" s="12" t="s">
        <v>23</v>
      </c>
      <c r="B28" s="25">
        <v>0.3</v>
      </c>
      <c r="C28" s="23">
        <f t="shared" si="1"/>
        <v>0.375</v>
      </c>
      <c r="D28" s="13">
        <f t="shared" si="2"/>
        <v>0.43124999999999997</v>
      </c>
      <c r="E28" s="13">
        <f t="shared" si="3"/>
        <v>0.44999999999999996</v>
      </c>
      <c r="F28" s="13">
        <f t="shared" si="4"/>
        <v>0.46875</v>
      </c>
      <c r="G28" s="13">
        <f t="shared" si="5"/>
        <v>0.48750000000000004</v>
      </c>
      <c r="H28" s="13">
        <f t="shared" si="6"/>
        <v>0.50625000000000009</v>
      </c>
      <c r="I28" s="13"/>
      <c r="J28" s="9">
        <v>0.15</v>
      </c>
    </row>
    <row r="29" spans="1:10" x14ac:dyDescent="0.3">
      <c r="A29" s="12" t="s">
        <v>7</v>
      </c>
      <c r="B29" s="25">
        <v>0.95</v>
      </c>
      <c r="C29" s="23">
        <f t="shared" si="1"/>
        <v>1.1875</v>
      </c>
      <c r="D29" s="13">
        <f t="shared" si="2"/>
        <v>1.3656249999999996</v>
      </c>
      <c r="E29" s="13">
        <f t="shared" si="3"/>
        <v>1.4249999999999998</v>
      </c>
      <c r="F29" s="13">
        <f t="shared" si="4"/>
        <v>1.484375</v>
      </c>
      <c r="G29" s="13">
        <f t="shared" si="5"/>
        <v>1.5437499999999997</v>
      </c>
      <c r="H29" s="13">
        <f t="shared" si="6"/>
        <v>1.6031249999999999</v>
      </c>
      <c r="I29" s="13"/>
      <c r="J29" s="9">
        <v>0.3</v>
      </c>
    </row>
    <row r="30" spans="1:10" x14ac:dyDescent="0.3">
      <c r="A30" s="12" t="s">
        <v>29</v>
      </c>
      <c r="B30" s="25">
        <v>0.5</v>
      </c>
      <c r="C30" s="23">
        <f t="shared" si="1"/>
        <v>0.625</v>
      </c>
      <c r="D30" s="13">
        <f t="shared" si="2"/>
        <v>0.71875</v>
      </c>
      <c r="E30" s="13">
        <f t="shared" si="3"/>
        <v>0.75</v>
      </c>
      <c r="F30" s="13">
        <f t="shared" si="4"/>
        <v>0.78125</v>
      </c>
      <c r="G30" s="13">
        <f t="shared" si="5"/>
        <v>0.8125</v>
      </c>
      <c r="H30" s="13">
        <f t="shared" si="6"/>
        <v>0.84375</v>
      </c>
      <c r="I30" s="13"/>
      <c r="J30" s="9">
        <v>0.3</v>
      </c>
    </row>
    <row r="31" spans="1:10" x14ac:dyDescent="0.3">
      <c r="A31" s="12" t="s">
        <v>30</v>
      </c>
      <c r="B31" s="25">
        <v>0.6</v>
      </c>
      <c r="C31" s="23">
        <f t="shared" si="1"/>
        <v>0.75</v>
      </c>
      <c r="D31" s="13">
        <f t="shared" si="2"/>
        <v>0.86249999999999993</v>
      </c>
      <c r="E31" s="13">
        <f t="shared" si="3"/>
        <v>0.89999999999999991</v>
      </c>
      <c r="F31" s="13">
        <f t="shared" si="4"/>
        <v>0.9375</v>
      </c>
      <c r="G31" s="13">
        <f t="shared" si="5"/>
        <v>0.97500000000000009</v>
      </c>
      <c r="H31" s="13">
        <f t="shared" si="6"/>
        <v>1.0125000000000002</v>
      </c>
      <c r="I31" s="13"/>
      <c r="J31" s="9">
        <v>0.3</v>
      </c>
    </row>
    <row r="32" spans="1:10" x14ac:dyDescent="0.3">
      <c r="A32" s="12" t="s">
        <v>5</v>
      </c>
      <c r="B32" s="25">
        <v>26</v>
      </c>
      <c r="C32" s="23">
        <f t="shared" si="1"/>
        <v>32.5</v>
      </c>
      <c r="D32" s="13">
        <f t="shared" si="2"/>
        <v>37.375</v>
      </c>
      <c r="E32" s="13">
        <f t="shared" si="3"/>
        <v>39</v>
      </c>
      <c r="F32" s="13">
        <f t="shared" si="4"/>
        <v>40.625</v>
      </c>
      <c r="G32" s="13">
        <f t="shared" si="5"/>
        <v>42.250000000000007</v>
      </c>
      <c r="H32" s="13">
        <f t="shared" si="6"/>
        <v>43.875</v>
      </c>
      <c r="I32" s="13"/>
      <c r="J32" s="9">
        <v>0.3</v>
      </c>
    </row>
    <row r="33" spans="1:10" x14ac:dyDescent="0.3">
      <c r="A33" s="12" t="s">
        <v>6</v>
      </c>
      <c r="B33" s="25">
        <v>24</v>
      </c>
      <c r="C33" s="23">
        <f t="shared" si="1"/>
        <v>30</v>
      </c>
      <c r="D33" s="13">
        <f t="shared" si="2"/>
        <v>34.5</v>
      </c>
      <c r="E33" s="13">
        <f t="shared" si="3"/>
        <v>36</v>
      </c>
      <c r="F33" s="13">
        <f t="shared" si="4"/>
        <v>37.5</v>
      </c>
      <c r="G33" s="13">
        <f t="shared" si="5"/>
        <v>39</v>
      </c>
      <c r="H33" s="13">
        <f t="shared" si="6"/>
        <v>40.500000000000007</v>
      </c>
      <c r="I33" s="13"/>
      <c r="J33" s="9">
        <v>0.3</v>
      </c>
    </row>
    <row r="34" spans="1:10" x14ac:dyDescent="0.3">
      <c r="A34" s="12" t="s">
        <v>8</v>
      </c>
      <c r="B34" s="25">
        <v>1.2</v>
      </c>
      <c r="C34" s="23">
        <f t="shared" si="1"/>
        <v>1.5</v>
      </c>
      <c r="D34" s="13">
        <f t="shared" si="2"/>
        <v>1.7249999999999999</v>
      </c>
      <c r="E34" s="13">
        <f t="shared" si="3"/>
        <v>1.7999999999999998</v>
      </c>
      <c r="F34" s="13">
        <f t="shared" si="4"/>
        <v>1.875</v>
      </c>
      <c r="G34" s="13">
        <f t="shared" si="5"/>
        <v>1.9500000000000002</v>
      </c>
      <c r="H34" s="13">
        <f t="shared" si="6"/>
        <v>2.0250000000000004</v>
      </c>
      <c r="I34" s="13"/>
      <c r="J34" s="9">
        <v>0.3</v>
      </c>
    </row>
    <row r="35" spans="1:10" x14ac:dyDescent="0.3">
      <c r="A35" s="12" t="s">
        <v>79</v>
      </c>
      <c r="B35" s="25">
        <v>4</v>
      </c>
      <c r="C35" s="23">
        <f t="shared" si="1"/>
        <v>5</v>
      </c>
      <c r="D35" s="13">
        <f t="shared" si="2"/>
        <v>5.75</v>
      </c>
      <c r="E35" s="13">
        <f t="shared" si="3"/>
        <v>6</v>
      </c>
      <c r="F35" s="13">
        <f t="shared" si="4"/>
        <v>6.25</v>
      </c>
      <c r="G35" s="13">
        <f t="shared" si="5"/>
        <v>6.5</v>
      </c>
      <c r="H35" s="13">
        <f t="shared" si="6"/>
        <v>6.75</v>
      </c>
      <c r="I35" s="13"/>
      <c r="J35" s="9">
        <v>0.3</v>
      </c>
    </row>
    <row r="36" spans="1:10" x14ac:dyDescent="0.3">
      <c r="A36" s="12" t="s">
        <v>9</v>
      </c>
      <c r="B36" s="25">
        <v>4.9000000000000004</v>
      </c>
      <c r="C36" s="23">
        <f t="shared" si="1"/>
        <v>6.125</v>
      </c>
      <c r="D36" s="13">
        <f t="shared" si="2"/>
        <v>7.0437499999999993</v>
      </c>
      <c r="E36" s="13">
        <f t="shared" si="3"/>
        <v>7.35</v>
      </c>
      <c r="F36" s="13">
        <f t="shared" si="4"/>
        <v>7.65625</v>
      </c>
      <c r="G36" s="13">
        <f t="shared" si="5"/>
        <v>7.9625000000000012</v>
      </c>
      <c r="H36" s="13">
        <f t="shared" si="6"/>
        <v>8.2687500000000007</v>
      </c>
      <c r="I36" s="13"/>
      <c r="J36" s="9">
        <v>0.3</v>
      </c>
    </row>
    <row r="37" spans="1:10" x14ac:dyDescent="0.3">
      <c r="A37" s="12" t="s">
        <v>81</v>
      </c>
      <c r="B37" s="25">
        <v>13.5</v>
      </c>
      <c r="C37" s="23">
        <f t="shared" si="1"/>
        <v>16.875</v>
      </c>
      <c r="D37" s="13">
        <f t="shared" si="2"/>
        <v>19.40625</v>
      </c>
      <c r="E37" s="13">
        <f t="shared" si="3"/>
        <v>20.25</v>
      </c>
      <c r="F37" s="13">
        <f t="shared" si="4"/>
        <v>21.09375</v>
      </c>
      <c r="G37" s="13">
        <f t="shared" si="5"/>
        <v>21.9375</v>
      </c>
      <c r="H37" s="13">
        <f t="shared" si="6"/>
        <v>22.78125</v>
      </c>
      <c r="I37" s="13"/>
      <c r="J37" s="9">
        <v>0.3</v>
      </c>
    </row>
    <row r="38" spans="1:10" x14ac:dyDescent="0.3">
      <c r="A38" s="14" t="s">
        <v>27</v>
      </c>
      <c r="B38" s="25">
        <f>I38*0.1</f>
        <v>8.7000000000000011</v>
      </c>
      <c r="C38" s="23">
        <f t="shared" si="1"/>
        <v>10.875000000000002</v>
      </c>
      <c r="D38" s="15">
        <f t="shared" si="2"/>
        <v>12.506250000000001</v>
      </c>
      <c r="E38" s="15">
        <f t="shared" si="3"/>
        <v>13.05</v>
      </c>
      <c r="F38" s="15">
        <f t="shared" si="4"/>
        <v>13.593750000000002</v>
      </c>
      <c r="G38" s="15">
        <f t="shared" si="5"/>
        <v>14.137500000000003</v>
      </c>
      <c r="H38" s="15">
        <f t="shared" si="6"/>
        <v>14.681250000000004</v>
      </c>
      <c r="I38" s="15">
        <v>87</v>
      </c>
      <c r="J38" s="9">
        <v>0.25</v>
      </c>
    </row>
    <row r="39" spans="1:10" x14ac:dyDescent="0.3">
      <c r="A39" s="14" t="s">
        <v>26</v>
      </c>
      <c r="B39" s="25">
        <f>I39*0.12</f>
        <v>10.44</v>
      </c>
      <c r="C39" s="23">
        <f t="shared" ref="C39:C79" si="12">B39*1.25</f>
        <v>13.049999999999999</v>
      </c>
      <c r="D39" s="15">
        <f t="shared" ref="D39:D79" si="13">B39*1.15*1.25</f>
        <v>15.007499999999999</v>
      </c>
      <c r="E39" s="15">
        <f t="shared" ref="E39:E79" si="14">B39*1.2*1.25</f>
        <v>15.659999999999998</v>
      </c>
      <c r="F39" s="15">
        <f t="shared" ref="F39:F79" si="15">B39*1.25*1.25</f>
        <v>16.3125</v>
      </c>
      <c r="G39" s="15">
        <f t="shared" ref="G39:G79" si="16">B39*1.3*1.25</f>
        <v>16.965</v>
      </c>
      <c r="H39" s="15">
        <f t="shared" ref="H39:H83" si="17">B39*1.35*1.25</f>
        <v>17.6175</v>
      </c>
      <c r="I39" s="15">
        <v>87</v>
      </c>
      <c r="J39" s="9">
        <v>0.25</v>
      </c>
    </row>
    <row r="40" spans="1:10" x14ac:dyDescent="0.3">
      <c r="A40" s="14" t="s">
        <v>24</v>
      </c>
      <c r="B40" s="25">
        <f>I40*0.14</f>
        <v>12.180000000000001</v>
      </c>
      <c r="C40" s="23">
        <f t="shared" si="12"/>
        <v>15.225000000000001</v>
      </c>
      <c r="D40" s="15">
        <f t="shared" si="13"/>
        <v>17.508750000000003</v>
      </c>
      <c r="E40" s="15">
        <f t="shared" si="14"/>
        <v>18.270000000000003</v>
      </c>
      <c r="F40" s="15">
        <f t="shared" si="15"/>
        <v>19.03125</v>
      </c>
      <c r="G40" s="15">
        <f t="shared" si="16"/>
        <v>19.792500000000004</v>
      </c>
      <c r="H40" s="15">
        <f t="shared" si="17"/>
        <v>20.553750000000001</v>
      </c>
      <c r="I40" s="15">
        <v>87</v>
      </c>
      <c r="J40" s="9">
        <v>0.25</v>
      </c>
    </row>
    <row r="41" spans="1:10" x14ac:dyDescent="0.3">
      <c r="A41" s="14" t="s">
        <v>25</v>
      </c>
      <c r="B41" s="25">
        <f>I41*0.15</f>
        <v>13.049999999999999</v>
      </c>
      <c r="C41" s="23">
        <f t="shared" si="12"/>
        <v>16.3125</v>
      </c>
      <c r="D41" s="15">
        <f t="shared" si="13"/>
        <v>18.759374999999995</v>
      </c>
      <c r="E41" s="15">
        <f t="shared" si="14"/>
        <v>19.574999999999999</v>
      </c>
      <c r="F41" s="15">
        <f t="shared" si="15"/>
        <v>20.390625</v>
      </c>
      <c r="G41" s="15">
        <f t="shared" si="16"/>
        <v>21.206250000000001</v>
      </c>
      <c r="H41" s="15">
        <f t="shared" si="17"/>
        <v>22.021875000000001</v>
      </c>
      <c r="I41" s="15">
        <v>87</v>
      </c>
      <c r="J41" s="9">
        <v>0.25</v>
      </c>
    </row>
    <row r="42" spans="1:10" x14ac:dyDescent="0.3">
      <c r="A42" s="14" t="s">
        <v>28</v>
      </c>
      <c r="B42" s="25">
        <f>I42*0.08</f>
        <v>6.96</v>
      </c>
      <c r="C42" s="23">
        <f t="shared" si="12"/>
        <v>8.6999999999999993</v>
      </c>
      <c r="D42" s="15">
        <f t="shared" si="13"/>
        <v>10.004999999999999</v>
      </c>
      <c r="E42" s="15">
        <f t="shared" si="14"/>
        <v>10.440000000000001</v>
      </c>
      <c r="F42" s="15">
        <f t="shared" si="15"/>
        <v>10.875</v>
      </c>
      <c r="G42" s="15">
        <f t="shared" si="16"/>
        <v>11.31</v>
      </c>
      <c r="H42" s="15">
        <f t="shared" si="17"/>
        <v>11.745000000000001</v>
      </c>
      <c r="I42" s="15">
        <v>87</v>
      </c>
      <c r="J42" s="9">
        <v>0.25</v>
      </c>
    </row>
    <row r="43" spans="1:10" x14ac:dyDescent="0.3">
      <c r="A43" s="14" t="s">
        <v>20</v>
      </c>
      <c r="B43" s="25">
        <f>I43*0.015</f>
        <v>4.95</v>
      </c>
      <c r="C43" s="23">
        <f t="shared" si="12"/>
        <v>6.1875</v>
      </c>
      <c r="D43" s="15">
        <f t="shared" si="13"/>
        <v>7.1156249999999996</v>
      </c>
      <c r="E43" s="15">
        <f t="shared" si="14"/>
        <v>7.4250000000000007</v>
      </c>
      <c r="F43" s="15">
        <f t="shared" si="15"/>
        <v>7.734375</v>
      </c>
      <c r="G43" s="15">
        <f t="shared" si="16"/>
        <v>8.0437500000000011</v>
      </c>
      <c r="H43" s="15">
        <f t="shared" si="17"/>
        <v>8.3531250000000021</v>
      </c>
      <c r="I43" s="15">
        <v>330</v>
      </c>
      <c r="J43" s="9">
        <v>0.15</v>
      </c>
    </row>
    <row r="44" spans="1:10" x14ac:dyDescent="0.3">
      <c r="A44" s="14" t="s">
        <v>21</v>
      </c>
      <c r="B44" s="25">
        <f>I44*0.018</f>
        <v>5.9399999999999995</v>
      </c>
      <c r="C44" s="23">
        <f t="shared" si="12"/>
        <v>7.4249999999999989</v>
      </c>
      <c r="D44" s="15">
        <f t="shared" si="13"/>
        <v>8.5387499999999985</v>
      </c>
      <c r="E44" s="15">
        <f t="shared" si="14"/>
        <v>8.9099999999999984</v>
      </c>
      <c r="F44" s="15">
        <f t="shared" si="15"/>
        <v>9.2812499999999982</v>
      </c>
      <c r="G44" s="15">
        <f t="shared" si="16"/>
        <v>9.6524999999999999</v>
      </c>
      <c r="H44" s="15">
        <f t="shared" si="17"/>
        <v>10.02375</v>
      </c>
      <c r="I44" s="15">
        <v>330</v>
      </c>
      <c r="J44" s="9">
        <v>0.15</v>
      </c>
    </row>
    <row r="45" spans="1:10" x14ac:dyDescent="0.3">
      <c r="A45" s="14" t="s">
        <v>22</v>
      </c>
      <c r="B45" s="25">
        <f>I45*0.022</f>
        <v>7.26</v>
      </c>
      <c r="C45" s="23">
        <f t="shared" si="12"/>
        <v>9.0749999999999993</v>
      </c>
      <c r="D45" s="15">
        <f t="shared" si="13"/>
        <v>10.436249999999998</v>
      </c>
      <c r="E45" s="15">
        <f t="shared" si="14"/>
        <v>10.89</v>
      </c>
      <c r="F45" s="15">
        <f t="shared" si="15"/>
        <v>11.34375</v>
      </c>
      <c r="G45" s="15">
        <f t="shared" si="16"/>
        <v>11.797500000000001</v>
      </c>
      <c r="H45" s="15">
        <f t="shared" si="17"/>
        <v>12.251250000000001</v>
      </c>
      <c r="I45" s="15">
        <v>330</v>
      </c>
      <c r="J45" s="9">
        <v>0.15</v>
      </c>
    </row>
    <row r="46" spans="1:10" x14ac:dyDescent="0.3">
      <c r="A46" s="14" t="s">
        <v>19</v>
      </c>
      <c r="B46" s="25">
        <f>I46*0.012</f>
        <v>3.96</v>
      </c>
      <c r="C46" s="23">
        <f t="shared" si="12"/>
        <v>4.95</v>
      </c>
      <c r="D46" s="15">
        <f t="shared" si="13"/>
        <v>5.692499999999999</v>
      </c>
      <c r="E46" s="15">
        <f t="shared" si="14"/>
        <v>5.9399999999999995</v>
      </c>
      <c r="F46" s="15">
        <f t="shared" si="15"/>
        <v>6.1875</v>
      </c>
      <c r="G46" s="15">
        <f t="shared" si="16"/>
        <v>6.4349999999999996</v>
      </c>
      <c r="H46" s="15">
        <f t="shared" si="17"/>
        <v>6.6825000000000001</v>
      </c>
      <c r="I46" s="15">
        <v>330</v>
      </c>
      <c r="J46" s="9">
        <v>0.15</v>
      </c>
    </row>
    <row r="47" spans="1:10" x14ac:dyDescent="0.3">
      <c r="A47" s="14" t="s">
        <v>83</v>
      </c>
      <c r="B47" s="26">
        <v>0.24</v>
      </c>
      <c r="C47" s="23">
        <f t="shared" si="12"/>
        <v>0.3</v>
      </c>
      <c r="D47" s="15">
        <f t="shared" si="13"/>
        <v>0.34499999999999997</v>
      </c>
      <c r="E47" s="15">
        <f t="shared" si="14"/>
        <v>0.36</v>
      </c>
      <c r="F47" s="15">
        <f t="shared" si="15"/>
        <v>0.375</v>
      </c>
      <c r="G47" s="15">
        <f t="shared" si="16"/>
        <v>0.39</v>
      </c>
      <c r="H47" s="15">
        <f t="shared" si="17"/>
        <v>0.40500000000000003</v>
      </c>
      <c r="I47" s="15"/>
      <c r="J47" s="9">
        <v>0.2</v>
      </c>
    </row>
    <row r="48" spans="1:10" x14ac:dyDescent="0.3">
      <c r="A48" s="14" t="s">
        <v>84</v>
      </c>
      <c r="B48" s="26">
        <v>5.87</v>
      </c>
      <c r="C48" s="23">
        <f t="shared" si="12"/>
        <v>7.3375000000000004</v>
      </c>
      <c r="D48" s="15">
        <f t="shared" si="13"/>
        <v>8.4381249999999994</v>
      </c>
      <c r="E48" s="15">
        <f t="shared" si="14"/>
        <v>8.8049999999999997</v>
      </c>
      <c r="F48" s="15">
        <f t="shared" si="15"/>
        <v>9.171875</v>
      </c>
      <c r="G48" s="15">
        <f t="shared" si="16"/>
        <v>9.5387500000000003</v>
      </c>
      <c r="H48" s="15">
        <f t="shared" si="17"/>
        <v>9.9056250000000006</v>
      </c>
      <c r="I48" s="15"/>
      <c r="J48" s="9">
        <v>0.2</v>
      </c>
    </row>
    <row r="49" spans="1:10" x14ac:dyDescent="0.3">
      <c r="A49" s="14" t="s">
        <v>85</v>
      </c>
      <c r="B49" s="26">
        <v>0.36</v>
      </c>
      <c r="C49" s="23">
        <f t="shared" si="12"/>
        <v>0.44999999999999996</v>
      </c>
      <c r="D49" s="15">
        <f t="shared" si="13"/>
        <v>0.51749999999999996</v>
      </c>
      <c r="E49" s="15">
        <f t="shared" si="14"/>
        <v>0.54</v>
      </c>
      <c r="F49" s="15">
        <f t="shared" si="15"/>
        <v>0.5625</v>
      </c>
      <c r="G49" s="15">
        <f t="shared" si="16"/>
        <v>0.58499999999999996</v>
      </c>
      <c r="H49" s="15">
        <f t="shared" si="17"/>
        <v>0.60749999999999993</v>
      </c>
      <c r="I49" s="15"/>
      <c r="J49" s="9">
        <v>0.2</v>
      </c>
    </row>
    <row r="50" spans="1:10" x14ac:dyDescent="0.3">
      <c r="A50" s="14" t="s">
        <v>86</v>
      </c>
      <c r="B50" s="26">
        <v>0.75</v>
      </c>
      <c r="C50" s="23">
        <f t="shared" si="12"/>
        <v>0.9375</v>
      </c>
      <c r="D50" s="15">
        <f t="shared" si="13"/>
        <v>1.078125</v>
      </c>
      <c r="E50" s="15">
        <f t="shared" si="14"/>
        <v>1.125</v>
      </c>
      <c r="F50" s="15">
        <f t="shared" si="15"/>
        <v>1.171875</v>
      </c>
      <c r="G50" s="15">
        <f t="shared" si="16"/>
        <v>1.21875</v>
      </c>
      <c r="H50" s="15">
        <f t="shared" si="17"/>
        <v>1.2656250000000002</v>
      </c>
      <c r="I50" s="15"/>
      <c r="J50" s="9">
        <v>0.2</v>
      </c>
    </row>
    <row r="51" spans="1:10" x14ac:dyDescent="0.3">
      <c r="A51" s="14" t="s">
        <v>87</v>
      </c>
      <c r="B51" s="26">
        <v>1.89</v>
      </c>
      <c r="C51" s="23">
        <f t="shared" si="12"/>
        <v>2.3624999999999998</v>
      </c>
      <c r="D51" s="15">
        <f t="shared" si="13"/>
        <v>2.7168749999999999</v>
      </c>
      <c r="E51" s="15">
        <f t="shared" si="14"/>
        <v>2.835</v>
      </c>
      <c r="F51" s="15">
        <f t="shared" si="15"/>
        <v>2.953125</v>
      </c>
      <c r="G51" s="15">
        <f t="shared" si="16"/>
        <v>3.07125</v>
      </c>
      <c r="H51" s="15">
        <f t="shared" si="17"/>
        <v>3.1893750000000001</v>
      </c>
      <c r="I51" s="15"/>
      <c r="J51" s="9">
        <v>0.2</v>
      </c>
    </row>
    <row r="52" spans="1:10" x14ac:dyDescent="0.3">
      <c r="A52" s="14" t="s">
        <v>88</v>
      </c>
      <c r="B52" s="26">
        <v>22.41</v>
      </c>
      <c r="C52" s="23">
        <f t="shared" si="12"/>
        <v>28.012499999999999</v>
      </c>
      <c r="D52" s="15">
        <f t="shared" si="13"/>
        <v>32.214374999999997</v>
      </c>
      <c r="E52" s="15">
        <f t="shared" si="14"/>
        <v>33.615000000000002</v>
      </c>
      <c r="F52" s="15">
        <f t="shared" si="15"/>
        <v>35.015625</v>
      </c>
      <c r="G52" s="15">
        <f t="shared" si="16"/>
        <v>36.416250000000005</v>
      </c>
      <c r="H52" s="15">
        <f t="shared" si="17"/>
        <v>37.816875000000003</v>
      </c>
      <c r="I52" s="15"/>
      <c r="J52" s="9">
        <v>0.2</v>
      </c>
    </row>
    <row r="53" spans="1:10" x14ac:dyDescent="0.3">
      <c r="A53" s="14" t="s">
        <v>89</v>
      </c>
      <c r="B53" s="26">
        <v>0.24</v>
      </c>
      <c r="C53" s="23">
        <f t="shared" si="12"/>
        <v>0.3</v>
      </c>
      <c r="D53" s="15">
        <f t="shared" si="13"/>
        <v>0.34499999999999997</v>
      </c>
      <c r="E53" s="15">
        <f t="shared" si="14"/>
        <v>0.36</v>
      </c>
      <c r="F53" s="15">
        <f t="shared" si="15"/>
        <v>0.375</v>
      </c>
      <c r="G53" s="15">
        <f t="shared" si="16"/>
        <v>0.39</v>
      </c>
      <c r="H53" s="15">
        <f t="shared" si="17"/>
        <v>0.40500000000000003</v>
      </c>
      <c r="I53" s="15"/>
      <c r="J53" s="9">
        <v>0.2</v>
      </c>
    </row>
    <row r="54" spans="1:10" x14ac:dyDescent="0.3">
      <c r="A54" s="14" t="s">
        <v>90</v>
      </c>
      <c r="B54" s="26">
        <v>1.25</v>
      </c>
      <c r="C54" s="23">
        <f t="shared" si="12"/>
        <v>1.5625</v>
      </c>
      <c r="D54" s="15">
        <f t="shared" si="13"/>
        <v>1.796875</v>
      </c>
      <c r="E54" s="15">
        <f t="shared" si="14"/>
        <v>1.875</v>
      </c>
      <c r="F54" s="15">
        <f t="shared" si="15"/>
        <v>1.953125</v>
      </c>
      <c r="G54" s="15">
        <f t="shared" si="16"/>
        <v>2.03125</v>
      </c>
      <c r="H54" s="15">
        <f t="shared" si="17"/>
        <v>2.109375</v>
      </c>
      <c r="I54" s="15"/>
      <c r="J54" s="9">
        <v>0.2</v>
      </c>
    </row>
    <row r="55" spans="1:10" x14ac:dyDescent="0.3">
      <c r="A55" s="14" t="s">
        <v>91</v>
      </c>
      <c r="B55" s="26">
        <v>0.26</v>
      </c>
      <c r="C55" s="23">
        <f t="shared" si="12"/>
        <v>0.32500000000000001</v>
      </c>
      <c r="D55" s="15">
        <f t="shared" si="13"/>
        <v>0.37374999999999997</v>
      </c>
      <c r="E55" s="15">
        <f t="shared" si="14"/>
        <v>0.39</v>
      </c>
      <c r="F55" s="15">
        <f t="shared" si="15"/>
        <v>0.40625</v>
      </c>
      <c r="G55" s="15">
        <f t="shared" si="16"/>
        <v>0.42250000000000004</v>
      </c>
      <c r="H55" s="15">
        <f t="shared" si="17"/>
        <v>0.43875000000000003</v>
      </c>
      <c r="I55" s="15"/>
      <c r="J55" s="9">
        <v>0.2</v>
      </c>
    </row>
    <row r="56" spans="1:10" x14ac:dyDescent="0.3">
      <c r="A56" s="16" t="s">
        <v>78</v>
      </c>
      <c r="B56" s="27">
        <v>15.8</v>
      </c>
      <c r="C56" s="23">
        <f t="shared" si="12"/>
        <v>19.75</v>
      </c>
      <c r="D56" s="17">
        <f t="shared" si="13"/>
        <v>22.712499999999999</v>
      </c>
      <c r="E56" s="17">
        <f t="shared" si="14"/>
        <v>23.700000000000003</v>
      </c>
      <c r="F56" s="17">
        <f t="shared" si="15"/>
        <v>24.6875</v>
      </c>
      <c r="G56" s="17">
        <f t="shared" si="16"/>
        <v>25.675000000000004</v>
      </c>
      <c r="H56" s="17">
        <f t="shared" si="17"/>
        <v>26.662500000000001</v>
      </c>
      <c r="I56" s="17"/>
      <c r="J56" s="9">
        <v>0.3</v>
      </c>
    </row>
    <row r="57" spans="1:10" x14ac:dyDescent="0.3">
      <c r="A57" s="16" t="s">
        <v>31</v>
      </c>
      <c r="B57" s="27">
        <v>17.8</v>
      </c>
      <c r="C57" s="23">
        <f t="shared" si="12"/>
        <v>22.25</v>
      </c>
      <c r="D57" s="17">
        <f t="shared" si="13"/>
        <v>25.587499999999999</v>
      </c>
      <c r="E57" s="17">
        <f t="shared" si="14"/>
        <v>26.7</v>
      </c>
      <c r="F57" s="17">
        <f t="shared" si="15"/>
        <v>27.8125</v>
      </c>
      <c r="G57" s="17">
        <f t="shared" si="16"/>
        <v>28.925000000000001</v>
      </c>
      <c r="H57" s="17">
        <f t="shared" si="17"/>
        <v>30.037500000000001</v>
      </c>
      <c r="I57" s="17"/>
      <c r="J57" s="9">
        <v>0.3</v>
      </c>
    </row>
    <row r="58" spans="1:10" x14ac:dyDescent="0.3">
      <c r="A58" s="16" t="s">
        <v>32</v>
      </c>
      <c r="B58" s="27">
        <v>20.8</v>
      </c>
      <c r="C58" s="23">
        <f t="shared" si="12"/>
        <v>26</v>
      </c>
      <c r="D58" s="17">
        <f t="shared" si="13"/>
        <v>29.9</v>
      </c>
      <c r="E58" s="17">
        <f t="shared" si="14"/>
        <v>31.200000000000003</v>
      </c>
      <c r="F58" s="17">
        <f t="shared" si="15"/>
        <v>32.5</v>
      </c>
      <c r="G58" s="17">
        <f t="shared" si="16"/>
        <v>33.800000000000004</v>
      </c>
      <c r="H58" s="17">
        <f t="shared" si="17"/>
        <v>35.1</v>
      </c>
      <c r="I58" s="17"/>
      <c r="J58" s="9">
        <v>0.3</v>
      </c>
    </row>
    <row r="59" spans="1:10" x14ac:dyDescent="0.3">
      <c r="A59" s="16" t="s">
        <v>33</v>
      </c>
      <c r="B59" s="27">
        <v>23.8</v>
      </c>
      <c r="C59" s="23">
        <f t="shared" si="12"/>
        <v>29.75</v>
      </c>
      <c r="D59" s="17">
        <f t="shared" si="13"/>
        <v>34.212499999999999</v>
      </c>
      <c r="E59" s="17">
        <f t="shared" si="14"/>
        <v>35.699999999999996</v>
      </c>
      <c r="F59" s="17">
        <f t="shared" si="15"/>
        <v>37.1875</v>
      </c>
      <c r="G59" s="17">
        <f t="shared" si="16"/>
        <v>38.675000000000004</v>
      </c>
      <c r="H59" s="17">
        <f t="shared" si="17"/>
        <v>40.162500000000001</v>
      </c>
      <c r="I59" s="17"/>
      <c r="J59" s="9">
        <v>0.3</v>
      </c>
    </row>
    <row r="60" spans="1:10" x14ac:dyDescent="0.3">
      <c r="A60" s="16" t="s">
        <v>34</v>
      </c>
      <c r="B60" s="27">
        <v>27</v>
      </c>
      <c r="C60" s="23">
        <f t="shared" si="12"/>
        <v>33.75</v>
      </c>
      <c r="D60" s="17">
        <f t="shared" si="13"/>
        <v>38.8125</v>
      </c>
      <c r="E60" s="17">
        <f t="shared" si="14"/>
        <v>40.5</v>
      </c>
      <c r="F60" s="17">
        <f t="shared" si="15"/>
        <v>42.1875</v>
      </c>
      <c r="G60" s="17">
        <f t="shared" si="16"/>
        <v>43.875</v>
      </c>
      <c r="H60" s="17">
        <f t="shared" si="17"/>
        <v>45.5625</v>
      </c>
      <c r="I60" s="17"/>
      <c r="J60" s="9">
        <v>0.3</v>
      </c>
    </row>
    <row r="61" spans="1:10" x14ac:dyDescent="0.3">
      <c r="A61" s="16" t="s">
        <v>35</v>
      </c>
      <c r="B61" s="27">
        <v>30</v>
      </c>
      <c r="C61" s="23">
        <f t="shared" si="12"/>
        <v>37.5</v>
      </c>
      <c r="D61" s="17">
        <f t="shared" si="13"/>
        <v>43.125</v>
      </c>
      <c r="E61" s="17">
        <f t="shared" si="14"/>
        <v>45</v>
      </c>
      <c r="F61" s="17">
        <f t="shared" si="15"/>
        <v>46.875</v>
      </c>
      <c r="G61" s="17">
        <f t="shared" si="16"/>
        <v>48.75</v>
      </c>
      <c r="H61" s="17">
        <f t="shared" si="17"/>
        <v>50.625</v>
      </c>
      <c r="I61" s="17"/>
      <c r="J61" s="9">
        <v>0.3</v>
      </c>
    </row>
    <row r="62" spans="1:10" x14ac:dyDescent="0.3">
      <c r="A62" s="16" t="s">
        <v>36</v>
      </c>
      <c r="B62" s="27">
        <v>33.6</v>
      </c>
      <c r="C62" s="23">
        <f t="shared" si="12"/>
        <v>42</v>
      </c>
      <c r="D62" s="17">
        <f t="shared" si="13"/>
        <v>48.3</v>
      </c>
      <c r="E62" s="17">
        <f t="shared" si="14"/>
        <v>50.4</v>
      </c>
      <c r="F62" s="17">
        <f t="shared" si="15"/>
        <v>52.5</v>
      </c>
      <c r="G62" s="17">
        <f t="shared" si="16"/>
        <v>54.600000000000009</v>
      </c>
      <c r="H62" s="17">
        <f t="shared" si="17"/>
        <v>56.70000000000001</v>
      </c>
      <c r="I62" s="17"/>
      <c r="J62" s="9">
        <v>0.3</v>
      </c>
    </row>
    <row r="63" spans="1:10" x14ac:dyDescent="0.3">
      <c r="A63" s="16" t="s">
        <v>37</v>
      </c>
      <c r="B63" s="27">
        <v>9.1999999999999993</v>
      </c>
      <c r="C63" s="23">
        <f t="shared" si="12"/>
        <v>11.5</v>
      </c>
      <c r="D63" s="17">
        <f t="shared" si="13"/>
        <v>13.224999999999998</v>
      </c>
      <c r="E63" s="17">
        <f t="shared" si="14"/>
        <v>13.799999999999999</v>
      </c>
      <c r="F63" s="17">
        <f t="shared" si="15"/>
        <v>14.375</v>
      </c>
      <c r="G63" s="17">
        <f t="shared" si="16"/>
        <v>14.95</v>
      </c>
      <c r="H63" s="17">
        <f t="shared" si="17"/>
        <v>15.525</v>
      </c>
      <c r="I63" s="17"/>
      <c r="J63" s="9">
        <v>0.3</v>
      </c>
    </row>
    <row r="64" spans="1:10" x14ac:dyDescent="0.3">
      <c r="A64" s="16" t="s">
        <v>38</v>
      </c>
      <c r="B64" s="27">
        <v>14.8</v>
      </c>
      <c r="C64" s="23">
        <f t="shared" si="12"/>
        <v>18.5</v>
      </c>
      <c r="D64" s="17">
        <f t="shared" si="13"/>
        <v>21.274999999999999</v>
      </c>
      <c r="E64" s="17">
        <f t="shared" si="14"/>
        <v>22.200000000000003</v>
      </c>
      <c r="F64" s="17">
        <f t="shared" si="15"/>
        <v>23.125</v>
      </c>
      <c r="G64" s="17">
        <f t="shared" si="16"/>
        <v>24.050000000000004</v>
      </c>
      <c r="H64" s="17">
        <f t="shared" si="17"/>
        <v>24.975000000000005</v>
      </c>
      <c r="I64" s="17"/>
      <c r="J64" s="9">
        <v>0.3</v>
      </c>
    </row>
    <row r="65" spans="1:10" x14ac:dyDescent="0.3">
      <c r="A65" s="16" t="s">
        <v>39</v>
      </c>
      <c r="B65" s="27">
        <v>10.6</v>
      </c>
      <c r="C65" s="23">
        <f t="shared" si="12"/>
        <v>13.25</v>
      </c>
      <c r="D65" s="17">
        <f t="shared" si="13"/>
        <v>15.237499999999999</v>
      </c>
      <c r="E65" s="17">
        <f t="shared" si="14"/>
        <v>15.899999999999999</v>
      </c>
      <c r="F65" s="17">
        <f t="shared" si="15"/>
        <v>16.5625</v>
      </c>
      <c r="G65" s="17">
        <f t="shared" si="16"/>
        <v>17.224999999999998</v>
      </c>
      <c r="H65" s="17">
        <f t="shared" si="17"/>
        <v>17.887499999999999</v>
      </c>
      <c r="I65" s="17"/>
      <c r="J65" s="9">
        <v>0.3</v>
      </c>
    </row>
    <row r="66" spans="1:10" x14ac:dyDescent="0.3">
      <c r="A66" s="16" t="s">
        <v>40</v>
      </c>
      <c r="B66" s="27">
        <v>17.399999999999999</v>
      </c>
      <c r="C66" s="23">
        <f t="shared" si="12"/>
        <v>21.75</v>
      </c>
      <c r="D66" s="17">
        <f t="shared" si="13"/>
        <v>25.012499999999996</v>
      </c>
      <c r="E66" s="17">
        <f t="shared" si="14"/>
        <v>26.099999999999998</v>
      </c>
      <c r="F66" s="17">
        <f t="shared" si="15"/>
        <v>27.1875</v>
      </c>
      <c r="G66" s="17">
        <f t="shared" si="16"/>
        <v>28.274999999999999</v>
      </c>
      <c r="H66" s="17">
        <f t="shared" si="17"/>
        <v>29.362499999999997</v>
      </c>
      <c r="I66" s="17"/>
      <c r="J66" s="9">
        <v>0.3</v>
      </c>
    </row>
    <row r="67" spans="1:10" x14ac:dyDescent="0.3">
      <c r="A67" s="16" t="s">
        <v>41</v>
      </c>
      <c r="B67" s="27">
        <v>13.6</v>
      </c>
      <c r="C67" s="23">
        <f t="shared" si="12"/>
        <v>17</v>
      </c>
      <c r="D67" s="17">
        <f t="shared" si="13"/>
        <v>19.549999999999997</v>
      </c>
      <c r="E67" s="17">
        <f t="shared" si="14"/>
        <v>20.399999999999999</v>
      </c>
      <c r="F67" s="17">
        <f t="shared" si="15"/>
        <v>21.25</v>
      </c>
      <c r="G67" s="17">
        <f t="shared" si="16"/>
        <v>22.1</v>
      </c>
      <c r="H67" s="17">
        <f t="shared" si="17"/>
        <v>22.95</v>
      </c>
      <c r="I67" s="17"/>
      <c r="J67" s="9">
        <v>0.3</v>
      </c>
    </row>
    <row r="68" spans="1:10" x14ac:dyDescent="0.3">
      <c r="A68" s="16" t="s">
        <v>42</v>
      </c>
      <c r="B68" s="27">
        <v>22</v>
      </c>
      <c r="C68" s="23">
        <f t="shared" si="12"/>
        <v>27.5</v>
      </c>
      <c r="D68" s="17">
        <f t="shared" si="13"/>
        <v>31.624999999999996</v>
      </c>
      <c r="E68" s="17">
        <f t="shared" si="14"/>
        <v>33</v>
      </c>
      <c r="F68" s="17">
        <f t="shared" si="15"/>
        <v>34.375</v>
      </c>
      <c r="G68" s="17">
        <f t="shared" si="16"/>
        <v>35.75</v>
      </c>
      <c r="H68" s="17">
        <f t="shared" si="17"/>
        <v>37.125</v>
      </c>
      <c r="I68" s="17"/>
      <c r="J68" s="9">
        <v>0.3</v>
      </c>
    </row>
    <row r="69" spans="1:10" x14ac:dyDescent="0.3">
      <c r="A69" s="16" t="s">
        <v>43</v>
      </c>
      <c r="B69" s="27">
        <v>15.2</v>
      </c>
      <c r="C69" s="23">
        <f t="shared" si="12"/>
        <v>19</v>
      </c>
      <c r="D69" s="17">
        <f t="shared" si="13"/>
        <v>21.849999999999994</v>
      </c>
      <c r="E69" s="17">
        <f t="shared" si="14"/>
        <v>22.799999999999997</v>
      </c>
      <c r="F69" s="17">
        <f t="shared" si="15"/>
        <v>23.75</v>
      </c>
      <c r="G69" s="17">
        <f t="shared" si="16"/>
        <v>24.699999999999996</v>
      </c>
      <c r="H69" s="17">
        <f t="shared" si="17"/>
        <v>25.65</v>
      </c>
      <c r="I69" s="17"/>
      <c r="J69" s="9">
        <v>0.3</v>
      </c>
    </row>
    <row r="70" spans="1:10" x14ac:dyDescent="0.3">
      <c r="A70" s="16" t="s">
        <v>44</v>
      </c>
      <c r="B70" s="27">
        <v>23.8</v>
      </c>
      <c r="C70" s="23">
        <f t="shared" si="12"/>
        <v>29.75</v>
      </c>
      <c r="D70" s="17">
        <f t="shared" si="13"/>
        <v>34.212499999999999</v>
      </c>
      <c r="E70" s="17">
        <f t="shared" si="14"/>
        <v>35.699999999999996</v>
      </c>
      <c r="F70" s="17">
        <f t="shared" si="15"/>
        <v>37.1875</v>
      </c>
      <c r="G70" s="17">
        <f t="shared" si="16"/>
        <v>38.675000000000004</v>
      </c>
      <c r="H70" s="17">
        <f t="shared" si="17"/>
        <v>40.162500000000001</v>
      </c>
      <c r="I70" s="17"/>
      <c r="J70" s="9">
        <v>0.3</v>
      </c>
    </row>
    <row r="71" spans="1:10" x14ac:dyDescent="0.3">
      <c r="A71" s="16" t="s">
        <v>45</v>
      </c>
      <c r="B71" s="27">
        <v>17.8</v>
      </c>
      <c r="C71" s="23">
        <f t="shared" si="12"/>
        <v>22.25</v>
      </c>
      <c r="D71" s="17">
        <f t="shared" si="13"/>
        <v>25.587499999999999</v>
      </c>
      <c r="E71" s="17">
        <f t="shared" si="14"/>
        <v>26.7</v>
      </c>
      <c r="F71" s="17">
        <f t="shared" si="15"/>
        <v>27.8125</v>
      </c>
      <c r="G71" s="17">
        <f t="shared" si="16"/>
        <v>28.925000000000001</v>
      </c>
      <c r="H71" s="17">
        <f t="shared" si="17"/>
        <v>30.037500000000001</v>
      </c>
      <c r="I71" s="17"/>
      <c r="J71" s="9">
        <v>0.3</v>
      </c>
    </row>
    <row r="72" spans="1:10" x14ac:dyDescent="0.3">
      <c r="A72" s="16" t="s">
        <v>46</v>
      </c>
      <c r="B72" s="27">
        <v>28.4</v>
      </c>
      <c r="C72" s="23">
        <f t="shared" si="12"/>
        <v>35.5</v>
      </c>
      <c r="D72" s="17">
        <f t="shared" si="13"/>
        <v>40.824999999999996</v>
      </c>
      <c r="E72" s="17">
        <f t="shared" si="14"/>
        <v>42.599999999999994</v>
      </c>
      <c r="F72" s="17">
        <f t="shared" si="15"/>
        <v>44.375</v>
      </c>
      <c r="G72" s="17">
        <f t="shared" si="16"/>
        <v>46.150000000000006</v>
      </c>
      <c r="H72" s="17">
        <f t="shared" si="17"/>
        <v>47.925000000000004</v>
      </c>
      <c r="I72" s="17"/>
      <c r="J72" s="9">
        <v>0.3</v>
      </c>
    </row>
    <row r="73" spans="1:10" x14ac:dyDescent="0.3">
      <c r="A73" s="16" t="s">
        <v>57</v>
      </c>
      <c r="B73" s="27">
        <v>12.6</v>
      </c>
      <c r="C73" s="23">
        <f t="shared" si="12"/>
        <v>15.75</v>
      </c>
      <c r="D73" s="17">
        <f t="shared" si="13"/>
        <v>18.112499999999997</v>
      </c>
      <c r="E73" s="17">
        <f t="shared" si="14"/>
        <v>18.899999999999999</v>
      </c>
      <c r="F73" s="17">
        <f t="shared" si="15"/>
        <v>19.6875</v>
      </c>
      <c r="G73" s="17">
        <f t="shared" si="16"/>
        <v>20.474999999999998</v>
      </c>
      <c r="H73" s="17">
        <f t="shared" si="17"/>
        <v>21.262500000000003</v>
      </c>
      <c r="I73" s="17"/>
      <c r="J73" s="9">
        <v>0.3</v>
      </c>
    </row>
    <row r="74" spans="1:10" x14ac:dyDescent="0.3">
      <c r="A74" s="16" t="s">
        <v>47</v>
      </c>
      <c r="B74" s="27">
        <v>8.1999999999999993</v>
      </c>
      <c r="C74" s="23">
        <f t="shared" si="12"/>
        <v>10.25</v>
      </c>
      <c r="D74" s="17">
        <f t="shared" si="13"/>
        <v>11.787499999999998</v>
      </c>
      <c r="E74" s="17">
        <f t="shared" si="14"/>
        <v>12.299999999999997</v>
      </c>
      <c r="F74" s="17">
        <f t="shared" si="15"/>
        <v>12.8125</v>
      </c>
      <c r="G74" s="17">
        <f t="shared" si="16"/>
        <v>13.324999999999999</v>
      </c>
      <c r="H74" s="17">
        <f t="shared" si="17"/>
        <v>13.8375</v>
      </c>
      <c r="I74" s="17"/>
      <c r="J74" s="9">
        <v>0.3</v>
      </c>
    </row>
    <row r="75" spans="1:10" x14ac:dyDescent="0.3">
      <c r="A75" s="18" t="s">
        <v>58</v>
      </c>
      <c r="B75" s="27">
        <v>7</v>
      </c>
      <c r="C75" s="23">
        <f t="shared" si="12"/>
        <v>8.75</v>
      </c>
      <c r="D75" s="17">
        <f t="shared" si="13"/>
        <v>10.062499999999998</v>
      </c>
      <c r="E75" s="17">
        <f t="shared" si="14"/>
        <v>10.5</v>
      </c>
      <c r="F75" s="17">
        <f t="shared" si="15"/>
        <v>10.9375</v>
      </c>
      <c r="G75" s="17">
        <f t="shared" si="16"/>
        <v>11.375</v>
      </c>
      <c r="H75" s="17">
        <f t="shared" si="17"/>
        <v>11.812500000000002</v>
      </c>
      <c r="I75" s="17"/>
      <c r="J75" s="9">
        <v>0.3</v>
      </c>
    </row>
    <row r="76" spans="1:10" x14ac:dyDescent="0.3">
      <c r="A76" s="18" t="s">
        <v>59</v>
      </c>
      <c r="B76" s="27">
        <v>7.8</v>
      </c>
      <c r="C76" s="23">
        <f t="shared" si="12"/>
        <v>9.75</v>
      </c>
      <c r="D76" s="17">
        <f t="shared" si="13"/>
        <v>11.212499999999999</v>
      </c>
      <c r="E76" s="17">
        <f t="shared" si="14"/>
        <v>11.7</v>
      </c>
      <c r="F76" s="17">
        <f t="shared" si="15"/>
        <v>12.1875</v>
      </c>
      <c r="G76" s="17">
        <f t="shared" si="16"/>
        <v>12.675000000000001</v>
      </c>
      <c r="H76" s="17">
        <f t="shared" si="17"/>
        <v>13.162500000000001</v>
      </c>
      <c r="I76" s="17"/>
      <c r="J76" s="9">
        <v>0.3</v>
      </c>
    </row>
    <row r="77" spans="1:10" x14ac:dyDescent="0.3">
      <c r="A77" s="18" t="s">
        <v>60</v>
      </c>
      <c r="B77" s="27">
        <v>8.8000000000000007</v>
      </c>
      <c r="C77" s="23">
        <f t="shared" si="12"/>
        <v>11</v>
      </c>
      <c r="D77" s="17">
        <f t="shared" si="13"/>
        <v>12.649999999999999</v>
      </c>
      <c r="E77" s="17">
        <f t="shared" si="14"/>
        <v>13.200000000000001</v>
      </c>
      <c r="F77" s="17">
        <f t="shared" si="15"/>
        <v>13.75</v>
      </c>
      <c r="G77" s="17">
        <f t="shared" si="16"/>
        <v>14.3</v>
      </c>
      <c r="H77" s="17">
        <f t="shared" si="17"/>
        <v>14.850000000000003</v>
      </c>
      <c r="I77" s="17"/>
      <c r="J77" s="9">
        <v>0.3</v>
      </c>
    </row>
    <row r="78" spans="1:10" x14ac:dyDescent="0.3">
      <c r="A78" s="18" t="s">
        <v>61</v>
      </c>
      <c r="B78" s="27">
        <v>10.4</v>
      </c>
      <c r="C78" s="23">
        <f t="shared" si="12"/>
        <v>13</v>
      </c>
      <c r="D78" s="17">
        <f t="shared" si="13"/>
        <v>14.95</v>
      </c>
      <c r="E78" s="17">
        <f t="shared" si="14"/>
        <v>15.600000000000001</v>
      </c>
      <c r="F78" s="17">
        <f t="shared" si="15"/>
        <v>16.25</v>
      </c>
      <c r="G78" s="17">
        <f t="shared" si="16"/>
        <v>16.900000000000002</v>
      </c>
      <c r="H78" s="17">
        <f t="shared" si="17"/>
        <v>17.55</v>
      </c>
      <c r="I78" s="17"/>
      <c r="J78" s="9">
        <v>0.3</v>
      </c>
    </row>
    <row r="79" spans="1:10" x14ac:dyDescent="0.3">
      <c r="A79" s="18" t="s">
        <v>62</v>
      </c>
      <c r="B79" s="27">
        <v>10.4</v>
      </c>
      <c r="C79" s="23">
        <f t="shared" si="12"/>
        <v>13</v>
      </c>
      <c r="D79" s="17">
        <f t="shared" si="13"/>
        <v>14.95</v>
      </c>
      <c r="E79" s="17">
        <f t="shared" si="14"/>
        <v>15.600000000000001</v>
      </c>
      <c r="F79" s="17">
        <f t="shared" si="15"/>
        <v>16.25</v>
      </c>
      <c r="G79" s="17">
        <f t="shared" si="16"/>
        <v>16.900000000000002</v>
      </c>
      <c r="H79" s="17">
        <f t="shared" si="17"/>
        <v>17.55</v>
      </c>
      <c r="I79" s="17"/>
      <c r="J79" s="9">
        <v>0.3</v>
      </c>
    </row>
    <row r="80" spans="1:10" x14ac:dyDescent="0.3">
      <c r="A80" s="18" t="s">
        <v>63</v>
      </c>
      <c r="B80" s="27">
        <v>12.2</v>
      </c>
      <c r="C80" s="23">
        <f t="shared" ref="C80:C97" si="18">B80*1.25</f>
        <v>15.25</v>
      </c>
      <c r="D80" s="17">
        <f t="shared" ref="D80:D97" si="19">B80*1.15*1.25</f>
        <v>17.537499999999998</v>
      </c>
      <c r="E80" s="17">
        <f t="shared" ref="E80:E97" si="20">B80*1.2*1.25</f>
        <v>18.299999999999997</v>
      </c>
      <c r="F80" s="17">
        <f t="shared" ref="F80:F97" si="21">B80*1.25*1.25</f>
        <v>19.0625</v>
      </c>
      <c r="G80" s="17">
        <f t="shared" ref="G80:G97" si="22">B80*1.3*1.25</f>
        <v>19.824999999999999</v>
      </c>
      <c r="H80" s="17">
        <f t="shared" si="17"/>
        <v>20.587499999999999</v>
      </c>
      <c r="I80" s="17"/>
      <c r="J80" s="9">
        <v>0.3</v>
      </c>
    </row>
    <row r="81" spans="1:10" x14ac:dyDescent="0.3">
      <c r="A81" s="18" t="s">
        <v>64</v>
      </c>
      <c r="B81" s="27">
        <v>12.2</v>
      </c>
      <c r="C81" s="23">
        <f t="shared" si="18"/>
        <v>15.25</v>
      </c>
      <c r="D81" s="17">
        <f t="shared" si="19"/>
        <v>17.537499999999998</v>
      </c>
      <c r="E81" s="17">
        <f t="shared" si="20"/>
        <v>18.299999999999997</v>
      </c>
      <c r="F81" s="17">
        <f t="shared" si="21"/>
        <v>19.0625</v>
      </c>
      <c r="G81" s="17">
        <f t="shared" si="22"/>
        <v>19.824999999999999</v>
      </c>
      <c r="H81" s="17">
        <f t="shared" si="17"/>
        <v>20.587499999999999</v>
      </c>
      <c r="I81" s="17"/>
      <c r="J81" s="9">
        <v>0.3</v>
      </c>
    </row>
    <row r="82" spans="1:10" x14ac:dyDescent="0.3">
      <c r="A82" s="18" t="s">
        <v>65</v>
      </c>
      <c r="B82" s="27">
        <v>14</v>
      </c>
      <c r="C82" s="23">
        <f t="shared" si="18"/>
        <v>17.5</v>
      </c>
      <c r="D82" s="17">
        <f t="shared" si="19"/>
        <v>20.124999999999996</v>
      </c>
      <c r="E82" s="17">
        <f t="shared" si="20"/>
        <v>21</v>
      </c>
      <c r="F82" s="17">
        <f t="shared" si="21"/>
        <v>21.875</v>
      </c>
      <c r="G82" s="17">
        <f t="shared" si="22"/>
        <v>22.75</v>
      </c>
      <c r="H82" s="17">
        <f t="shared" si="17"/>
        <v>23.625000000000004</v>
      </c>
      <c r="I82" s="17"/>
      <c r="J82" s="9">
        <v>0.3</v>
      </c>
    </row>
    <row r="83" spans="1:10" x14ac:dyDescent="0.3">
      <c r="A83" s="18" t="s">
        <v>66</v>
      </c>
      <c r="B83" s="27">
        <v>14</v>
      </c>
      <c r="C83" s="23">
        <f t="shared" si="18"/>
        <v>17.5</v>
      </c>
      <c r="D83" s="17">
        <f t="shared" si="19"/>
        <v>20.124999999999996</v>
      </c>
      <c r="E83" s="17">
        <f t="shared" si="20"/>
        <v>21</v>
      </c>
      <c r="F83" s="17">
        <f t="shared" si="21"/>
        <v>21.875</v>
      </c>
      <c r="G83" s="17">
        <f t="shared" si="22"/>
        <v>22.75</v>
      </c>
      <c r="H83" s="17">
        <f t="shared" si="17"/>
        <v>23.625000000000004</v>
      </c>
      <c r="I83" s="17"/>
      <c r="J83" s="9">
        <v>0.3</v>
      </c>
    </row>
    <row r="84" spans="1:10" x14ac:dyDescent="0.3">
      <c r="A84" s="18" t="s">
        <v>67</v>
      </c>
      <c r="B84" s="27">
        <v>8</v>
      </c>
      <c r="C84" s="23">
        <f t="shared" si="18"/>
        <v>10</v>
      </c>
      <c r="D84" s="17">
        <f t="shared" si="19"/>
        <v>11.5</v>
      </c>
      <c r="E84" s="17">
        <f t="shared" si="20"/>
        <v>12</v>
      </c>
      <c r="F84" s="17">
        <f t="shared" si="21"/>
        <v>12.5</v>
      </c>
      <c r="G84" s="17">
        <f t="shared" si="22"/>
        <v>13</v>
      </c>
      <c r="H84" s="17"/>
      <c r="I84" s="17"/>
      <c r="J84" s="9">
        <v>0.3</v>
      </c>
    </row>
    <row r="85" spans="1:10" x14ac:dyDescent="0.3">
      <c r="A85" s="18" t="s">
        <v>70</v>
      </c>
      <c r="B85" s="27">
        <v>9</v>
      </c>
      <c r="C85" s="23">
        <f t="shared" si="18"/>
        <v>11.25</v>
      </c>
      <c r="D85" s="17">
        <f t="shared" si="19"/>
        <v>12.9375</v>
      </c>
      <c r="E85" s="17">
        <f t="shared" si="20"/>
        <v>13.499999999999998</v>
      </c>
      <c r="F85" s="17">
        <f t="shared" si="21"/>
        <v>14.0625</v>
      </c>
      <c r="G85" s="17">
        <f t="shared" si="22"/>
        <v>14.625000000000002</v>
      </c>
      <c r="H85" s="17">
        <f t="shared" ref="H85:H97" si="23">B85*1.35*1.25</f>
        <v>15.1875</v>
      </c>
      <c r="I85" s="17"/>
      <c r="J85" s="9">
        <v>0.3</v>
      </c>
    </row>
    <row r="86" spans="1:10" x14ac:dyDescent="0.3">
      <c r="A86" s="18" t="s">
        <v>69</v>
      </c>
      <c r="B86" s="27">
        <v>10</v>
      </c>
      <c r="C86" s="23">
        <f t="shared" si="18"/>
        <v>12.5</v>
      </c>
      <c r="D86" s="17">
        <f t="shared" si="19"/>
        <v>14.375</v>
      </c>
      <c r="E86" s="17">
        <f t="shared" si="20"/>
        <v>15</v>
      </c>
      <c r="F86" s="17">
        <f t="shared" si="21"/>
        <v>15.625</v>
      </c>
      <c r="G86" s="17">
        <f t="shared" si="22"/>
        <v>16.25</v>
      </c>
      <c r="H86" s="17">
        <f t="shared" si="23"/>
        <v>16.875</v>
      </c>
      <c r="I86" s="17"/>
      <c r="J86" s="9">
        <v>0.3</v>
      </c>
    </row>
    <row r="87" spans="1:10" x14ac:dyDescent="0.3">
      <c r="A87" s="18" t="s">
        <v>68</v>
      </c>
      <c r="B87" s="27">
        <v>11.2</v>
      </c>
      <c r="C87" s="23">
        <f t="shared" si="18"/>
        <v>14</v>
      </c>
      <c r="D87" s="17">
        <f t="shared" si="19"/>
        <v>16.099999999999998</v>
      </c>
      <c r="E87" s="17">
        <f t="shared" si="20"/>
        <v>16.8</v>
      </c>
      <c r="F87" s="17">
        <f t="shared" si="21"/>
        <v>17.5</v>
      </c>
      <c r="G87" s="17">
        <f t="shared" si="22"/>
        <v>18.2</v>
      </c>
      <c r="H87" s="17">
        <f t="shared" si="23"/>
        <v>18.899999999999999</v>
      </c>
      <c r="I87" s="17"/>
      <c r="J87" s="9">
        <v>0.3</v>
      </c>
    </row>
    <row r="88" spans="1:10" x14ac:dyDescent="0.3">
      <c r="A88" s="18" t="s">
        <v>71</v>
      </c>
      <c r="B88" s="27">
        <v>13.2</v>
      </c>
      <c r="C88" s="23">
        <f t="shared" si="18"/>
        <v>16.5</v>
      </c>
      <c r="D88" s="17">
        <f t="shared" si="19"/>
        <v>18.974999999999998</v>
      </c>
      <c r="E88" s="17">
        <f t="shared" si="20"/>
        <v>19.799999999999997</v>
      </c>
      <c r="F88" s="17">
        <f t="shared" si="21"/>
        <v>20.625</v>
      </c>
      <c r="G88" s="17">
        <f t="shared" si="22"/>
        <v>21.45</v>
      </c>
      <c r="H88" s="17">
        <f t="shared" si="23"/>
        <v>22.274999999999999</v>
      </c>
      <c r="I88" s="17"/>
      <c r="J88" s="9">
        <v>0.3</v>
      </c>
    </row>
    <row r="89" spans="1:10" x14ac:dyDescent="0.3">
      <c r="A89" s="18" t="s">
        <v>52</v>
      </c>
      <c r="B89" s="25">
        <v>164</v>
      </c>
      <c r="C89" s="23">
        <f t="shared" si="18"/>
        <v>205</v>
      </c>
      <c r="D89" s="17">
        <f t="shared" si="19"/>
        <v>235.75</v>
      </c>
      <c r="E89" s="17">
        <f t="shared" si="20"/>
        <v>245.99999999999997</v>
      </c>
      <c r="F89" s="17">
        <f t="shared" si="21"/>
        <v>256.25</v>
      </c>
      <c r="G89" s="17">
        <f t="shared" si="22"/>
        <v>266.5</v>
      </c>
      <c r="H89" s="17">
        <f t="shared" si="23"/>
        <v>276.75</v>
      </c>
      <c r="I89" s="19" t="s">
        <v>48</v>
      </c>
      <c r="J89" s="9">
        <v>0.3</v>
      </c>
    </row>
    <row r="90" spans="1:10" x14ac:dyDescent="0.3">
      <c r="A90" s="18" t="s">
        <v>53</v>
      </c>
      <c r="B90" s="25">
        <v>194</v>
      </c>
      <c r="C90" s="23">
        <f t="shared" si="18"/>
        <v>242.5</v>
      </c>
      <c r="D90" s="17">
        <f t="shared" si="19"/>
        <v>278.875</v>
      </c>
      <c r="E90" s="17">
        <f t="shared" si="20"/>
        <v>291</v>
      </c>
      <c r="F90" s="17">
        <f t="shared" si="21"/>
        <v>303.125</v>
      </c>
      <c r="G90" s="17">
        <f t="shared" si="22"/>
        <v>315.25</v>
      </c>
      <c r="H90" s="17">
        <f t="shared" si="23"/>
        <v>327.37500000000006</v>
      </c>
      <c r="I90" s="19" t="s">
        <v>48</v>
      </c>
      <c r="J90" s="9">
        <v>0.3</v>
      </c>
    </row>
    <row r="91" spans="1:10" x14ac:dyDescent="0.3">
      <c r="A91" s="18" t="s">
        <v>54</v>
      </c>
      <c r="B91" s="25">
        <v>240</v>
      </c>
      <c r="C91" s="23">
        <f t="shared" si="18"/>
        <v>300</v>
      </c>
      <c r="D91" s="17">
        <f t="shared" si="19"/>
        <v>345</v>
      </c>
      <c r="E91" s="17">
        <f t="shared" si="20"/>
        <v>360</v>
      </c>
      <c r="F91" s="17">
        <f t="shared" si="21"/>
        <v>375</v>
      </c>
      <c r="G91" s="17">
        <f t="shared" si="22"/>
        <v>390</v>
      </c>
      <c r="H91" s="17">
        <f t="shared" si="23"/>
        <v>405</v>
      </c>
      <c r="I91" s="19" t="s">
        <v>48</v>
      </c>
      <c r="J91" s="9">
        <v>0.3</v>
      </c>
    </row>
    <row r="92" spans="1:10" x14ac:dyDescent="0.3">
      <c r="A92" s="18" t="s">
        <v>55</v>
      </c>
      <c r="B92" s="25">
        <v>276</v>
      </c>
      <c r="C92" s="23">
        <f t="shared" si="18"/>
        <v>345</v>
      </c>
      <c r="D92" s="17">
        <f t="shared" si="19"/>
        <v>396.75</v>
      </c>
      <c r="E92" s="17">
        <f t="shared" si="20"/>
        <v>414</v>
      </c>
      <c r="F92" s="17">
        <f t="shared" si="21"/>
        <v>431.25</v>
      </c>
      <c r="G92" s="17">
        <f t="shared" si="22"/>
        <v>448.5</v>
      </c>
      <c r="H92" s="17">
        <f t="shared" si="23"/>
        <v>465.75</v>
      </c>
      <c r="I92" s="19" t="s">
        <v>48</v>
      </c>
      <c r="J92" s="9">
        <v>0.3</v>
      </c>
    </row>
    <row r="93" spans="1:10" x14ac:dyDescent="0.3">
      <c r="A93" s="18" t="s">
        <v>76</v>
      </c>
      <c r="B93" s="25">
        <v>316</v>
      </c>
      <c r="C93" s="23">
        <f t="shared" si="18"/>
        <v>395</v>
      </c>
      <c r="D93" s="17">
        <f t="shared" si="19"/>
        <v>454.25</v>
      </c>
      <c r="E93" s="17">
        <f t="shared" si="20"/>
        <v>474</v>
      </c>
      <c r="F93" s="17">
        <f t="shared" si="21"/>
        <v>493.75</v>
      </c>
      <c r="G93" s="17">
        <f t="shared" si="22"/>
        <v>513.5</v>
      </c>
      <c r="H93" s="17">
        <f t="shared" si="23"/>
        <v>533.25</v>
      </c>
      <c r="I93" s="19"/>
      <c r="J93" s="9">
        <v>0.3</v>
      </c>
    </row>
    <row r="94" spans="1:10" x14ac:dyDescent="0.3">
      <c r="A94" s="18" t="s">
        <v>72</v>
      </c>
      <c r="B94" s="25">
        <v>0.26</v>
      </c>
      <c r="C94" s="23">
        <f t="shared" si="18"/>
        <v>0.32500000000000001</v>
      </c>
      <c r="D94" s="17">
        <f t="shared" si="19"/>
        <v>0.37374999999999997</v>
      </c>
      <c r="E94" s="17">
        <f t="shared" si="20"/>
        <v>0.39</v>
      </c>
      <c r="F94" s="17">
        <f t="shared" si="21"/>
        <v>0.40625</v>
      </c>
      <c r="G94" s="17">
        <f t="shared" si="22"/>
        <v>0.42250000000000004</v>
      </c>
      <c r="H94" s="17">
        <f t="shared" si="23"/>
        <v>0.43875000000000003</v>
      </c>
      <c r="I94" s="17"/>
      <c r="J94" s="9">
        <v>0.3</v>
      </c>
    </row>
    <row r="95" spans="1:10" x14ac:dyDescent="0.3">
      <c r="A95" s="18" t="s">
        <v>73</v>
      </c>
      <c r="B95" s="25">
        <v>0.36</v>
      </c>
      <c r="C95" s="23">
        <f t="shared" si="18"/>
        <v>0.44999999999999996</v>
      </c>
      <c r="D95" s="17">
        <f t="shared" si="19"/>
        <v>0.51749999999999996</v>
      </c>
      <c r="E95" s="17">
        <f t="shared" si="20"/>
        <v>0.54</v>
      </c>
      <c r="F95" s="17">
        <f t="shared" si="21"/>
        <v>0.5625</v>
      </c>
      <c r="G95" s="17">
        <f t="shared" si="22"/>
        <v>0.58499999999999996</v>
      </c>
      <c r="H95" s="17">
        <f t="shared" si="23"/>
        <v>0.60749999999999993</v>
      </c>
      <c r="I95" s="17"/>
      <c r="J95" s="9">
        <v>0.3</v>
      </c>
    </row>
    <row r="96" spans="1:10" x14ac:dyDescent="0.3">
      <c r="A96" s="18" t="s">
        <v>75</v>
      </c>
      <c r="B96" s="25">
        <v>1.06</v>
      </c>
      <c r="C96" s="23">
        <f t="shared" si="18"/>
        <v>1.3250000000000002</v>
      </c>
      <c r="D96" s="17">
        <f t="shared" si="19"/>
        <v>1.5237499999999997</v>
      </c>
      <c r="E96" s="17">
        <f t="shared" si="20"/>
        <v>1.59</v>
      </c>
      <c r="F96" s="17">
        <f t="shared" si="21"/>
        <v>1.6562500000000002</v>
      </c>
      <c r="G96" s="17">
        <f t="shared" si="22"/>
        <v>1.7225000000000001</v>
      </c>
      <c r="H96" s="17">
        <f t="shared" si="23"/>
        <v>1.7887500000000003</v>
      </c>
      <c r="I96" s="17"/>
      <c r="J96" s="9">
        <v>0.3</v>
      </c>
    </row>
    <row r="97" spans="1:10" x14ac:dyDescent="0.3">
      <c r="A97" s="18" t="s">
        <v>74</v>
      </c>
      <c r="B97" s="25">
        <v>0.46</v>
      </c>
      <c r="C97" s="23">
        <f t="shared" si="18"/>
        <v>0.57500000000000007</v>
      </c>
      <c r="D97" s="17">
        <f t="shared" si="19"/>
        <v>0.66125</v>
      </c>
      <c r="E97" s="17">
        <f t="shared" si="20"/>
        <v>0.69000000000000006</v>
      </c>
      <c r="F97" s="17">
        <f t="shared" si="21"/>
        <v>0.71875000000000011</v>
      </c>
      <c r="G97" s="17">
        <f t="shared" si="22"/>
        <v>0.74750000000000005</v>
      </c>
      <c r="H97" s="17">
        <f t="shared" si="23"/>
        <v>0.77625000000000011</v>
      </c>
      <c r="I97" s="17"/>
      <c r="J97" s="9">
        <v>0.3</v>
      </c>
    </row>
  </sheetData>
  <autoFilter ref="A3:J97" xr:uid="{0F24DC72-9931-4817-B188-2DC91438E035}"/>
  <mergeCells count="1">
    <mergeCell ref="D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Karlo Fantoni</dc:creator>
  <cp:lastModifiedBy>Karlo Fantoni</cp:lastModifiedBy>
  <dcterms:created xsi:type="dcterms:W3CDTF">2024-11-01T09:22:04Z</dcterms:created>
  <dcterms:modified xsi:type="dcterms:W3CDTF">2026-02-01T11:13:40Z</dcterms:modified>
</cp:coreProperties>
</file>